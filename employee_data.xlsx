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\DATA_ANALYSIS_EXCEL\"/>
    </mc:Choice>
  </mc:AlternateContent>
  <xr:revisionPtr revIDLastSave="0" documentId="13_ncr:1_{AAB2241D-DCB5-4903-A6EF-17A308E0F1D2}" xr6:coauthVersionLast="47" xr6:coauthVersionMax="47" xr10:uidLastSave="{00000000-0000-0000-0000-000000000000}"/>
  <bookViews>
    <workbookView xWindow="-120" yWindow="-120" windowWidth="20730" windowHeight="11040" activeTab="2" xr2:uid="{5CC9B7D4-E0C4-4913-99A1-7266BDF1BB0F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  <c r="J2" i="1"/>
  <c r="I2" i="1"/>
  <c r="H2" i="1"/>
  <c r="G2" i="1"/>
  <c r="F2" i="1"/>
  <c r="E2" i="1"/>
</calcChain>
</file>

<file path=xl/sharedStrings.xml><?xml version="1.0" encoding="utf-8"?>
<sst xmlns="http://schemas.openxmlformats.org/spreadsheetml/2006/main" count="95" uniqueCount="93">
  <si>
    <t>Employee_ID</t>
  </si>
  <si>
    <t>Employee_Name</t>
  </si>
  <si>
    <t>Salary</t>
  </si>
  <si>
    <t>Experience_Years</t>
  </si>
  <si>
    <t>E001</t>
  </si>
  <si>
    <t>Ram</t>
  </si>
  <si>
    <t>E002</t>
  </si>
  <si>
    <t>Sita</t>
  </si>
  <si>
    <t>E003</t>
  </si>
  <si>
    <t>John</t>
  </si>
  <si>
    <t>E004</t>
  </si>
  <si>
    <t>David</t>
  </si>
  <si>
    <t>E005</t>
  </si>
  <si>
    <t>Sara</t>
  </si>
  <si>
    <t>E006</t>
  </si>
  <si>
    <t>Kumar</t>
  </si>
  <si>
    <t>E007</t>
  </si>
  <si>
    <t>Rani</t>
  </si>
  <si>
    <t>E008</t>
  </si>
  <si>
    <t>Peter</t>
  </si>
  <si>
    <t>E009</t>
  </si>
  <si>
    <t>Anil</t>
  </si>
  <si>
    <t>E010</t>
  </si>
  <si>
    <t>Geetha</t>
  </si>
  <si>
    <t>E011</t>
  </si>
  <si>
    <t>Rohit</t>
  </si>
  <si>
    <t>E012</t>
  </si>
  <si>
    <t>Lakshmi</t>
  </si>
  <si>
    <t>E013</t>
  </si>
  <si>
    <t>Naveen</t>
  </si>
  <si>
    <t>E014</t>
  </si>
  <si>
    <t>Rekha</t>
  </si>
  <si>
    <t>E015</t>
  </si>
  <si>
    <t>Arjun</t>
  </si>
  <si>
    <t>E016</t>
  </si>
  <si>
    <t>Sonia</t>
  </si>
  <si>
    <t>E017</t>
  </si>
  <si>
    <t>Harish</t>
  </si>
  <si>
    <t>E018</t>
  </si>
  <si>
    <t>Bhavana</t>
  </si>
  <si>
    <t>E019</t>
  </si>
  <si>
    <t>Vinay</t>
  </si>
  <si>
    <t>E020</t>
  </si>
  <si>
    <t>Keerthi</t>
  </si>
  <si>
    <t>MEAN</t>
  </si>
  <si>
    <t>MEDIAN</t>
  </si>
  <si>
    <t>MODE</t>
  </si>
  <si>
    <t>RANGE</t>
  </si>
  <si>
    <t>VARIANCE</t>
  </si>
  <si>
    <t>STDEV</t>
  </si>
  <si>
    <t>CORREL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</si>
  <si>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</si>
  <si>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</si>
  <si>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</si>
  <si>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</si>
  <si>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</si>
  <si>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</si>
  <si>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</si>
  <si>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</si>
  <si>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</si>
  <si>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</si>
  <si>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</si>
  <si>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</si>
  <si>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</si>
  <si>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</si>
  <si>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</si>
  <si>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</si>
  <si>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</si>
  <si>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</si>
  <si>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</si>
  <si>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</si>
  <si>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</si>
  <si>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</si>
  <si>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</si>
  <si>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</si>
  <si>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</si>
  <si>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</si>
  <si>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</si>
  <si>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</si>
  <si>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</si>
  <si>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</si>
  <si>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</si>
  <si>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</si>
  <si>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</si>
  <si>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</si>
  <si>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</si>
  <si>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</si>
  <si>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</si>
  <si>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</si>
  <si>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</si>
  <si>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35000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</si>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</sst>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2  Residual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7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</c:numCache>
            </c:numRef>
          </c:xVal>
          <c:yVal>
            <c:numRef>
              <c:f>Sheet3!$C$25:$C$43</c:f>
              <c:numCache>
                <c:formatCode>General</c:formatCode>
                <c:ptCount val="19"/>
                <c:pt idx="0">
                  <c:v>-287.35632183907728</c:v>
                </c:pt>
                <c:pt idx="1">
                  <c:v>-1042.3850574712633</c:v>
                </c:pt>
                <c:pt idx="2">
                  <c:v>467.67241379310144</c:v>
                </c:pt>
                <c:pt idx="3">
                  <c:v>-797.41379310344928</c:v>
                </c:pt>
                <c:pt idx="4">
                  <c:v>-1287.3563218390773</c:v>
                </c:pt>
                <c:pt idx="5">
                  <c:v>202.58620689655072</c:v>
                </c:pt>
                <c:pt idx="6">
                  <c:v>222.70114942528744</c:v>
                </c:pt>
                <c:pt idx="7">
                  <c:v>447.55747126436472</c:v>
                </c:pt>
                <c:pt idx="8">
                  <c:v>712.64367816092272</c:v>
                </c:pt>
                <c:pt idx="9">
                  <c:v>-42.385057471263281</c:v>
                </c:pt>
                <c:pt idx="10">
                  <c:v>-532.32758620689856</c:v>
                </c:pt>
                <c:pt idx="11">
                  <c:v>-542.38505747126328</c:v>
                </c:pt>
                <c:pt idx="12">
                  <c:v>-777.29885057471256</c:v>
                </c:pt>
                <c:pt idx="13">
                  <c:v>-297.41379310344928</c:v>
                </c:pt>
                <c:pt idx="14">
                  <c:v>212.64367816092272</c:v>
                </c:pt>
                <c:pt idx="15">
                  <c:v>702.58620689655072</c:v>
                </c:pt>
                <c:pt idx="16">
                  <c:v>967.67241379310144</c:v>
                </c:pt>
                <c:pt idx="17">
                  <c:v>457.61494252873672</c:v>
                </c:pt>
                <c:pt idx="18">
                  <c:v>1212.6436781609227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8ED-4A77-B624-D3DDCFDD2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7392256"/>
        <c:axId val="1447393216"/>
      </c:scatterChart>
      <c:valAx>
        <c:axId val="1447392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7393216"/>
        <c:crosses val="autoZero"/>
        <c:crossBetween val="midCat"/>
      </c:valAx>
      <c:valAx>
        <c:axId val="14473932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Residuals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447392256"/>
        <c:crosses val="autoZero"/>
        <c:crossBetween val="midCat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2 Line Fit  Plot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7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</c:numCache>
            </c:numRef>
          </c:xVal>
          <c:yVal>
            <c:numRef>
              <c:f>Sheet1!$C$3:$C$21</c:f>
              <c:numCache>
                <c:formatCode>General</c:formatCode>
                <c:ptCount val="19"/>
                <c:pt idx="0">
                  <c:v>42000</c:v>
                </c:pt>
                <c:pt idx="1">
                  <c:v>39000</c:v>
                </c:pt>
                <c:pt idx="2">
                  <c:v>45000</c:v>
                </c:pt>
                <c:pt idx="3">
                  <c:v>37000</c:v>
                </c:pt>
                <c:pt idx="4">
                  <c:v>41000</c:v>
                </c:pt>
                <c:pt idx="5">
                  <c:v>38000</c:v>
                </c:pt>
                <c:pt idx="6">
                  <c:v>47000</c:v>
                </c:pt>
                <c:pt idx="7">
                  <c:v>36000</c:v>
                </c:pt>
                <c:pt idx="8">
                  <c:v>43000</c:v>
                </c:pt>
                <c:pt idx="9">
                  <c:v>40000</c:v>
                </c:pt>
                <c:pt idx="10">
                  <c:v>44000</c:v>
                </c:pt>
                <c:pt idx="11">
                  <c:v>39500</c:v>
                </c:pt>
                <c:pt idx="12">
                  <c:v>46000</c:v>
                </c:pt>
                <c:pt idx="13">
                  <c:v>37500</c:v>
                </c:pt>
                <c:pt idx="14">
                  <c:v>42500</c:v>
                </c:pt>
                <c:pt idx="15">
                  <c:v>38500</c:v>
                </c:pt>
                <c:pt idx="16">
                  <c:v>45500</c:v>
                </c:pt>
                <c:pt idx="17">
                  <c:v>40500</c:v>
                </c:pt>
                <c:pt idx="18">
                  <c:v>43500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745-41CB-B871-44EB249C5CD9}"/>
            </c:ext>
          </c:extLst>
        </c:ser>
        <c:ser>
          <c:idx val="1"/>
          <c:order val="1"/>
          <c:tx>
            <c:v>Predicted 35000</c:v>
          </c:tx>
          <c:spPr>
            <a:ln w="19050">
              <a:noFill/>
            </a:ln>
          </c:spPr>
          <c:xVal>
            <c:numRef>
              <c:f>Sheet1!$D$3:$D$21</c:f>
              <c:numCache>
                <c:formatCode>General</c:formatCode>
                <c:ptCount val="19"/>
                <c:pt idx="0">
                  <c:v>5</c:v>
                </c:pt>
                <c:pt idx="1">
                  <c:v>4</c:v>
                </c:pt>
                <c:pt idx="2">
                  <c:v>6</c:v>
                </c:pt>
                <c:pt idx="3">
                  <c:v>3</c:v>
                </c:pt>
                <c:pt idx="4">
                  <c:v>5</c:v>
                </c:pt>
                <c:pt idx="5">
                  <c:v>3</c:v>
                </c:pt>
                <c:pt idx="6">
                  <c:v>7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  <c:pt idx="10">
                  <c:v>6</c:v>
                </c:pt>
                <c:pt idx="11">
                  <c:v>4</c:v>
                </c:pt>
                <c:pt idx="12">
                  <c:v>7</c:v>
                </c:pt>
                <c:pt idx="13">
                  <c:v>3</c:v>
                </c:pt>
                <c:pt idx="14">
                  <c:v>5</c:v>
                </c:pt>
                <c:pt idx="15">
                  <c:v>3</c:v>
                </c:pt>
                <c:pt idx="16">
                  <c:v>6</c:v>
                </c:pt>
                <c:pt idx="17">
                  <c:v>4</c:v>
                </c:pt>
                <c:pt idx="18">
                  <c:v>5</c:v>
                </c:pt>
              </c:numCache>
            </c:numRef>
          </c:xVal>
          <c:yVal>
            <c:numRef>
              <c:f>Sheet3!$B$25:$B$43</c:f>
              <c:numCache>
                <c:formatCode>General</c:formatCode>
                <c:ptCount val="19"/>
                <c:pt idx="0">
                  <c:v>42287.356321839077</c:v>
                </c:pt>
                <c:pt idx="1">
                  <c:v>40042.385057471263</c:v>
                </c:pt>
                <c:pt idx="2">
                  <c:v>44532.327586206899</c:v>
                </c:pt>
                <c:pt idx="3">
                  <c:v>37797.413793103449</c:v>
                </c:pt>
                <c:pt idx="4">
                  <c:v>42287.356321839077</c:v>
                </c:pt>
                <c:pt idx="5">
                  <c:v>37797.413793103449</c:v>
                </c:pt>
                <c:pt idx="6">
                  <c:v>46777.298850574713</c:v>
                </c:pt>
                <c:pt idx="7">
                  <c:v>35552.442528735635</c:v>
                </c:pt>
                <c:pt idx="8">
                  <c:v>42287.356321839077</c:v>
                </c:pt>
                <c:pt idx="9">
                  <c:v>40042.385057471263</c:v>
                </c:pt>
                <c:pt idx="10">
                  <c:v>44532.327586206899</c:v>
                </c:pt>
                <c:pt idx="11">
                  <c:v>40042.385057471263</c:v>
                </c:pt>
                <c:pt idx="12">
                  <c:v>46777.298850574713</c:v>
                </c:pt>
                <c:pt idx="13">
                  <c:v>37797.413793103449</c:v>
                </c:pt>
                <c:pt idx="14">
                  <c:v>42287.356321839077</c:v>
                </c:pt>
                <c:pt idx="15">
                  <c:v>37797.413793103449</c:v>
                </c:pt>
                <c:pt idx="16">
                  <c:v>44532.327586206899</c:v>
                </c:pt>
                <c:pt idx="17">
                  <c:v>40042.385057471263</c:v>
                </c:pt>
                <c:pt idx="18">
                  <c:v>42287.356321839077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45-41CB-B871-44EB249C5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1919936"/>
        <c:axId val="1601917056"/>
      </c:scatterChart>
      <c:valAx>
        <c:axId val="16019199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2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1917056"/>
        <c:crosses val="autoZero"/>
        <c:crossBetween val="midCat"/>
      </c:valAx>
      <c:valAx>
        <c:axId val="160191705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35000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601919936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Sheet1!$C$2:$C$21</c:f>
              <c:numCache>
                <c:formatCode>General</c:formatCode>
                <c:ptCount val="20"/>
                <c:pt idx="0">
                  <c:v>35000</c:v>
                </c:pt>
                <c:pt idx="1">
                  <c:v>42000</c:v>
                </c:pt>
                <c:pt idx="2">
                  <c:v>39000</c:v>
                </c:pt>
                <c:pt idx="3">
                  <c:v>45000</c:v>
                </c:pt>
                <c:pt idx="4">
                  <c:v>37000</c:v>
                </c:pt>
                <c:pt idx="5">
                  <c:v>41000</c:v>
                </c:pt>
                <c:pt idx="6">
                  <c:v>38000</c:v>
                </c:pt>
                <c:pt idx="7">
                  <c:v>47000</c:v>
                </c:pt>
                <c:pt idx="8">
                  <c:v>36000</c:v>
                </c:pt>
                <c:pt idx="9">
                  <c:v>43000</c:v>
                </c:pt>
                <c:pt idx="10">
                  <c:v>40000</c:v>
                </c:pt>
                <c:pt idx="11">
                  <c:v>44000</c:v>
                </c:pt>
                <c:pt idx="12">
                  <c:v>39500</c:v>
                </c:pt>
                <c:pt idx="13">
                  <c:v>46000</c:v>
                </c:pt>
                <c:pt idx="14">
                  <c:v>37500</c:v>
                </c:pt>
                <c:pt idx="15">
                  <c:v>42500</c:v>
                </c:pt>
                <c:pt idx="16">
                  <c:v>38500</c:v>
                </c:pt>
                <c:pt idx="17">
                  <c:v>45500</c:v>
                </c:pt>
                <c:pt idx="18">
                  <c:v>40500</c:v>
                </c:pt>
                <c:pt idx="19">
                  <c:v>43500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5-4573-B18D-8CA5B30CB4CC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Experience_Years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Sheet1!$D$2:$D$21</c:f>
              <c:numCache>
                <c:formatCode>General</c:formatCode>
                <c:ptCount val="20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6</c:v>
                </c:pt>
                <c:pt idx="4">
                  <c:v>3</c:v>
                </c:pt>
                <c:pt idx="5">
                  <c:v>5</c:v>
                </c:pt>
                <c:pt idx="6">
                  <c:v>3</c:v>
                </c:pt>
                <c:pt idx="7">
                  <c:v>7</c:v>
                </c:pt>
                <c:pt idx="8">
                  <c:v>2</c:v>
                </c:pt>
                <c:pt idx="9">
                  <c:v>5</c:v>
                </c:pt>
                <c:pt idx="10">
                  <c:v>4</c:v>
                </c:pt>
                <c:pt idx="11">
                  <c:v>6</c:v>
                </c:pt>
                <c:pt idx="12">
                  <c:v>4</c:v>
                </c:pt>
                <c:pt idx="13">
                  <c:v>7</c:v>
                </c:pt>
                <c:pt idx="14">
                  <c:v>3</c:v>
                </c:pt>
                <c:pt idx="15">
                  <c:v>5</c:v>
                </c:pt>
                <c:pt idx="16">
                  <c:v>3</c:v>
                </c:pt>
                <c:pt idx="17">
                  <c:v>6</c:v>
                </c:pt>
                <c:pt idx="18">
                  <c:v>4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55-4573-B18D-8CA5B30CB4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89465872"/>
        <c:axId val="1489467792"/>
      </c:barChart>
      <c:catAx>
        <c:axId val="1489465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467792"/>
        <c:crosses val="autoZero"/>
        <c:auto val="1"/>
        <c:lblAlgn val="ctr"/>
        <c:lblOffset val="100"/>
        <c:noMultiLvlLbl val="0"/>
      </c:catAx>
      <c:valAx>
        <c:axId val="1489467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465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Salary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Sheet1!$C$2:$C$22</c:f>
              <c:numCache>
                <c:formatCode>General</c:formatCode>
                <c:ptCount val="21"/>
                <c:pt idx="0">
                  <c:v>35000</c:v>
                </c:pt>
                <c:pt idx="1">
                  <c:v>42000</c:v>
                </c:pt>
                <c:pt idx="2">
                  <c:v>39000</c:v>
                </c:pt>
                <c:pt idx="3">
                  <c:v>45000</c:v>
                </c:pt>
                <c:pt idx="4">
                  <c:v>37000</c:v>
                </c:pt>
                <c:pt idx="5">
                  <c:v>41000</c:v>
                </c:pt>
                <c:pt idx="6">
                  <c:v>38000</c:v>
                </c:pt>
                <c:pt idx="7">
                  <c:v>47000</c:v>
                </c:pt>
                <c:pt idx="8">
                  <c:v>36000</c:v>
                </c:pt>
                <c:pt idx="9">
                  <c:v>43000</c:v>
                </c:pt>
                <c:pt idx="10">
                  <c:v>40000</c:v>
                </c:pt>
                <c:pt idx="11">
                  <c:v>44000</c:v>
                </c:pt>
                <c:pt idx="12">
                  <c:v>39500</c:v>
                </c:pt>
                <c:pt idx="13">
                  <c:v>46000</c:v>
                </c:pt>
                <c:pt idx="14">
                  <c:v>37500</c:v>
                </c:pt>
                <c:pt idx="15">
                  <c:v>42500</c:v>
                </c:pt>
                <c:pt idx="16">
                  <c:v>38500</c:v>
                </c:pt>
                <c:pt idx="17">
                  <c:v>45500</c:v>
                </c:pt>
                <c:pt idx="18">
                  <c:v>40500</c:v>
                </c:pt>
                <c:pt idx="19">
                  <c:v>43500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85-4130-87B8-58B2F6938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830640"/>
        <c:axId val="1411831600"/>
      </c:lineChart>
      <c:catAx>
        <c:axId val="14118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31600"/>
        <c:crosses val="autoZero"/>
        <c:auto val="1"/>
        <c:lblAlgn val="ctr"/>
        <c:lblOffset val="100"/>
        <c:noMultiLvlLbl val="0"/>
      </c:catAx>
      <c:valAx>
        <c:axId val="141183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83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238125</xdr:colOff>
      <xdr:row>0</xdr:row>
      <xdr:rowOff>180975</xdr:rowOff>
    </xdr:from>
    <xdr:to>
      <xdr:col>15</xdr:col>
      <xdr:colOff>238125</xdr:colOff>
      <xdr:row>10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27F596-A5E1-77DF-A8F1-0A43BA1B8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133350</xdr:colOff>
      <xdr:row>12</xdr:row>
      <xdr:rowOff>152400</xdr:rowOff>
    </xdr:from>
    <xdr:to>
      <xdr:col>16</xdr:col>
      <xdr:colOff>133350</xdr:colOff>
      <xdr:row>22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53560F6-0168-476F-3153-928C71325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2</xdr:row>
      <xdr:rowOff>52387</xdr:rowOff>
    </xdr:from>
    <xdr:to>
      <xdr:col>11</xdr:col>
      <xdr:colOff>371475</xdr:colOff>
      <xdr:row>16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0BAF7-7199-48A2-C844-226608E919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495300</xdr:colOff>
      <xdr:row>2</xdr:row>
      <xdr:rowOff>42862</xdr:rowOff>
    </xdr:from>
    <xdr:to>
      <xdr:col>19</xdr:col>
      <xdr:colOff>190500</xdr:colOff>
      <xdr:row>16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16A897B-8A24-F41F-0F86-811A7220C6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A2253-94FC-47F8-AE0A-10F93A2CEC90}">
  <dimension ref="A1:B16"/>
  <sheetViews>
    <sheetView workbookViewId="0">
      <selection sqref="A1:B16"/>
    </sheetView>
  </sheetViews>
  <sheetFormatPr defaultRowHeight="15" x14ac:dyDescent="0.25"/>
  <sheetData>
    <row r="1" spans="1:2" x14ac:dyDescent="0.25">
      <c r="A1" s="8">
        <v>35000</v>
      </c>
      <c r="B1" s="8"/>
    </row>
    <row r="2" spans="1:2" x14ac:dyDescent="0.25">
      <c r="A2" s="5"/>
      <c r="B2" s="5"/>
    </row>
    <row r="3" spans="1:2" x14ac:dyDescent="0.25">
      <c r="A3" s="5" t="s">
        <v>51</v>
      </c>
      <c r="B3" s="5">
        <v>41342.105263157893</v>
      </c>
    </row>
    <row r="4" spans="1:2" x14ac:dyDescent="0.25">
      <c r="A4" s="5" t="s">
        <v>52</v>
      </c>
      <c r="B4" s="5">
        <v>752.24093243924005</v>
      </c>
    </row>
    <row r="5" spans="1:2" x14ac:dyDescent="0.25">
      <c r="A5" s="5" t="s">
        <v>53</v>
      </c>
      <c r="B5" s="5">
        <v>41000</v>
      </c>
    </row>
    <row r="6" spans="1:2" x14ac:dyDescent="0.25">
      <c r="A6" s="5" t="s">
        <v>54</v>
      </c>
      <c r="B6" s="5" t="e">
        <v>#N/A</v>
      </c>
    </row>
    <row r="7" spans="1:2" x14ac:dyDescent="0.25">
      <c r="A7" s="5" t="s">
        <v>55</v>
      </c>
      <c r="B7" s="5">
        <v>3278.9422056974549</v>
      </c>
    </row>
    <row r="8" spans="1:2" x14ac:dyDescent="0.25">
      <c r="A8" s="5" t="s">
        <v>56</v>
      </c>
      <c r="B8" s="5">
        <v>10751461.988304092</v>
      </c>
    </row>
    <row r="9" spans="1:2" x14ac:dyDescent="0.25">
      <c r="A9" s="5" t="s">
        <v>57</v>
      </c>
      <c r="B9" s="5">
        <v>-1.1041874582515914</v>
      </c>
    </row>
    <row r="10" spans="1:2" x14ac:dyDescent="0.25">
      <c r="A10" s="5" t="s">
        <v>58</v>
      </c>
      <c r="B10" s="5">
        <v>0.11403499449053421</v>
      </c>
    </row>
    <row r="11" spans="1:2" x14ac:dyDescent="0.25">
      <c r="A11" s="5" t="s">
        <v>59</v>
      </c>
      <c r="B11" s="5">
        <v>11000</v>
      </c>
    </row>
    <row r="12" spans="1:2" x14ac:dyDescent="0.25">
      <c r="A12" s="5" t="s">
        <v>60</v>
      </c>
      <c r="B12" s="5">
        <v>36000</v>
      </c>
    </row>
    <row r="13" spans="1:2" x14ac:dyDescent="0.25">
      <c r="A13" s="5" t="s">
        <v>61</v>
      </c>
      <c r="B13" s="5">
        <v>47000</v>
      </c>
    </row>
    <row r="14" spans="1:2" x14ac:dyDescent="0.25">
      <c r="A14" s="5" t="s">
        <v>62</v>
      </c>
      <c r="B14" s="5">
        <v>785500</v>
      </c>
    </row>
    <row r="15" spans="1:2" x14ac:dyDescent="0.25">
      <c r="A15" s="5" t="s">
        <v>63</v>
      </c>
      <c r="B15" s="5">
        <v>19</v>
      </c>
    </row>
    <row r="16" spans="1:2" ht="15.75" thickBot="1" x14ac:dyDescent="0.3">
      <c r="A16" s="6" t="s">
        <v>64</v>
      </c>
      <c r="B16" s="6">
        <v>1580.3995545330688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1262-D133-4B16-A459-AD027E2FD6F6}">
  <dimension ref="A1:I43"/>
  <sheetViews>
    <sheetView workbookViewId="0">
      <selection activeCell="S6" sqref="S6"/>
    </sheetView>
  </sheetViews>
  <sheetFormatPr defaultRowHeight="15" x14ac:dyDescent="0.25"/>
  <sheetData>
    <row r="1" spans="1:9" x14ac:dyDescent="0.25">
      <c r="A1" t="s">
        <v>65</v>
      </c>
    </row>
    <row r="2" spans="1:9" ht="15.75" thickBot="1" x14ac:dyDescent="0.3"/>
    <row r="3" spans="1:9" x14ac:dyDescent="0.25">
      <c r="A3" s="8" t="s">
        <v>66</v>
      </c>
      <c r="B3" s="8"/>
    </row>
    <row r="4" spans="1:9" x14ac:dyDescent="0.25">
      <c r="A4" s="5" t="s">
        <v>67</v>
      </c>
      <c r="B4" s="5">
        <v>0.97671665026074828</v>
      </c>
    </row>
    <row r="5" spans="1:9" x14ac:dyDescent="0.25">
      <c r="A5" s="5" t="s">
        <v>68</v>
      </c>
      <c r="B5" s="5">
        <v>0.95397541489657678</v>
      </c>
    </row>
    <row r="6" spans="1:9" x14ac:dyDescent="0.25">
      <c r="A6" s="5" t="s">
        <v>69</v>
      </c>
      <c r="B6" s="5">
        <v>0.95126808636108129</v>
      </c>
    </row>
    <row r="7" spans="1:9" x14ac:dyDescent="0.25">
      <c r="A7" s="5" t="s">
        <v>52</v>
      </c>
      <c r="B7" s="5">
        <v>723.83652650729982</v>
      </c>
    </row>
    <row r="8" spans="1:9" ht="15.75" thickBot="1" x14ac:dyDescent="0.3">
      <c r="A8" s="6" t="s">
        <v>70</v>
      </c>
      <c r="B8" s="6">
        <v>19</v>
      </c>
    </row>
    <row r="10" spans="1:9" ht="15.75" thickBot="1" x14ac:dyDescent="0.3">
      <c r="A10" t="s">
        <v>71</v>
      </c>
    </row>
    <row r="11" spans="1:9" x14ac:dyDescent="0.25">
      <c r="A11" s="7"/>
      <c r="B11" s="7" t="s">
        <v>76</v>
      </c>
      <c r="C11" s="7" t="s">
        <v>77</v>
      </c>
      <c r="D11" s="7" t="s">
        <v>78</v>
      </c>
      <c r="E11" s="7" t="s">
        <v>79</v>
      </c>
      <c r="F11" s="7" t="s">
        <v>80</v>
      </c>
    </row>
    <row r="12" spans="1:9" x14ac:dyDescent="0.25">
      <c r="A12" s="5" t="s">
        <v>72</v>
      </c>
      <c r="B12" s="5">
        <v>1</v>
      </c>
      <c r="C12" s="5">
        <v>184619347.39866906</v>
      </c>
      <c r="D12" s="5">
        <v>184619347.39866906</v>
      </c>
      <c r="E12" s="5">
        <v>352.36780552825775</v>
      </c>
      <c r="F12" s="5">
        <v>8.4116533107705904E-13</v>
      </c>
    </row>
    <row r="13" spans="1:9" x14ac:dyDescent="0.25">
      <c r="A13" s="5" t="s">
        <v>73</v>
      </c>
      <c r="B13" s="5">
        <v>17</v>
      </c>
      <c r="C13" s="5">
        <v>8906968.3908046</v>
      </c>
      <c r="D13" s="5">
        <v>523939.31710615294</v>
      </c>
      <c r="E13" s="5"/>
      <c r="F13" s="5"/>
    </row>
    <row r="14" spans="1:9" ht="15.75" thickBot="1" x14ac:dyDescent="0.3">
      <c r="A14" s="6" t="s">
        <v>74</v>
      </c>
      <c r="B14" s="6">
        <v>18</v>
      </c>
      <c r="C14" s="6">
        <v>193526315.78947365</v>
      </c>
      <c r="D14" s="6"/>
      <c r="E14" s="6"/>
      <c r="F14" s="6"/>
    </row>
    <row r="15" spans="1:9" ht="15.75" thickBot="1" x14ac:dyDescent="0.3"/>
    <row r="16" spans="1:9" x14ac:dyDescent="0.25">
      <c r="A16" s="7"/>
      <c r="B16" s="7" t="s">
        <v>81</v>
      </c>
      <c r="C16" s="7" t="s">
        <v>52</v>
      </c>
      <c r="D16" s="7" t="s">
        <v>82</v>
      </c>
      <c r="E16" s="7" t="s">
        <v>83</v>
      </c>
      <c r="F16" s="7" t="s">
        <v>84</v>
      </c>
      <c r="G16" s="7" t="s">
        <v>85</v>
      </c>
      <c r="H16" s="7" t="s">
        <v>86</v>
      </c>
      <c r="I16" s="7" t="s">
        <v>87</v>
      </c>
    </row>
    <row r="17" spans="1:9" x14ac:dyDescent="0.25">
      <c r="A17" s="5" t="s">
        <v>75</v>
      </c>
      <c r="B17" s="5">
        <v>31062.5</v>
      </c>
      <c r="C17" s="5">
        <v>572.24301934697792</v>
      </c>
      <c r="D17" s="5">
        <v>54.282007730644487</v>
      </c>
      <c r="E17" s="5">
        <v>1.6977691680448789E-20</v>
      </c>
      <c r="F17" s="5">
        <v>29855.172763475373</v>
      </c>
      <c r="G17" s="5">
        <v>32269.827236524627</v>
      </c>
      <c r="H17" s="5">
        <v>29855.172763475373</v>
      </c>
      <c r="I17" s="5">
        <v>32269.827236524627</v>
      </c>
    </row>
    <row r="18" spans="1:9" ht="15.75" thickBot="1" x14ac:dyDescent="0.3">
      <c r="A18" s="6">
        <v>2</v>
      </c>
      <c r="B18" s="6">
        <v>2244.9712643678163</v>
      </c>
      <c r="C18" s="6">
        <v>119.59490427228853</v>
      </c>
      <c r="D18" s="6">
        <v>18.771462530347968</v>
      </c>
      <c r="E18" s="6">
        <v>8.4116533107705904E-13</v>
      </c>
      <c r="F18" s="6">
        <v>1992.6480723046577</v>
      </c>
      <c r="G18" s="6">
        <v>2497.2944564309751</v>
      </c>
      <c r="H18" s="6">
        <v>1992.6480723046577</v>
      </c>
      <c r="I18" s="6">
        <v>2497.2944564309751</v>
      </c>
    </row>
    <row r="22" spans="1:9" x14ac:dyDescent="0.25">
      <c r="A22" t="s">
        <v>88</v>
      </c>
    </row>
    <row r="23" spans="1:9" ht="15.75" thickBot="1" x14ac:dyDescent="0.3"/>
    <row r="24" spans="1:9" x14ac:dyDescent="0.25">
      <c r="A24" s="7" t="s">
        <v>89</v>
      </c>
      <c r="B24" s="7" t="s">
        <v>90</v>
      </c>
      <c r="C24" s="7" t="s">
        <v>91</v>
      </c>
      <c r="D24" s="7" t="s">
        <v>92</v>
      </c>
    </row>
    <row r="25" spans="1:9" x14ac:dyDescent="0.25">
      <c r="A25" s="5">
        <v>1</v>
      </c>
      <c r="B25" s="5">
        <v>42287.356321839077</v>
      </c>
      <c r="C25" s="5">
        <v>-287.35632183907728</v>
      </c>
      <c r="D25" s="5">
        <v>-0.40849999265678277</v>
      </c>
    </row>
    <row r="26" spans="1:9" x14ac:dyDescent="0.25">
      <c r="A26" s="5">
        <v>2</v>
      </c>
      <c r="B26" s="5">
        <v>40042.385057471263</v>
      </c>
      <c r="C26" s="5">
        <v>-1042.3850574712633</v>
      </c>
      <c r="D26" s="5">
        <v>-1.4818337233624943</v>
      </c>
    </row>
    <row r="27" spans="1:9" x14ac:dyDescent="0.25">
      <c r="A27" s="5">
        <v>3</v>
      </c>
      <c r="B27" s="5">
        <v>44532.327586206899</v>
      </c>
      <c r="C27" s="5">
        <v>467.67241379310144</v>
      </c>
      <c r="D27" s="5">
        <v>0.66483373804891843</v>
      </c>
    </row>
    <row r="28" spans="1:9" x14ac:dyDescent="0.25">
      <c r="A28" s="5">
        <v>4</v>
      </c>
      <c r="B28" s="5">
        <v>37797.413793103449</v>
      </c>
      <c r="C28" s="5">
        <v>-797.41379310344928</v>
      </c>
      <c r="D28" s="5">
        <v>-1.1335874796225862</v>
      </c>
    </row>
    <row r="29" spans="1:9" x14ac:dyDescent="0.25">
      <c r="A29" s="5">
        <v>5</v>
      </c>
      <c r="B29" s="5">
        <v>42287.356321839077</v>
      </c>
      <c r="C29" s="5">
        <v>-1287.3563218390773</v>
      </c>
      <c r="D29" s="5">
        <v>-1.8300799671024026</v>
      </c>
    </row>
    <row r="30" spans="1:9" x14ac:dyDescent="0.25">
      <c r="A30" s="5">
        <v>6</v>
      </c>
      <c r="B30" s="5">
        <v>37797.413793103449</v>
      </c>
      <c r="C30" s="5">
        <v>202.58620689655072</v>
      </c>
      <c r="D30" s="5">
        <v>0.28799249482303363</v>
      </c>
    </row>
    <row r="31" spans="1:9" x14ac:dyDescent="0.25">
      <c r="A31" s="5">
        <v>7</v>
      </c>
      <c r="B31" s="5">
        <v>46777.298850574713</v>
      </c>
      <c r="C31" s="5">
        <v>222.70114942528744</v>
      </c>
      <c r="D31" s="5">
        <v>0.31658749430901029</v>
      </c>
    </row>
    <row r="32" spans="1:9" x14ac:dyDescent="0.25">
      <c r="A32" s="5">
        <v>8</v>
      </c>
      <c r="B32" s="5">
        <v>35552.442528735635</v>
      </c>
      <c r="C32" s="5">
        <v>447.55747126436472</v>
      </c>
      <c r="D32" s="5">
        <v>0.63623873856294177</v>
      </c>
    </row>
    <row r="33" spans="1:4" x14ac:dyDescent="0.25">
      <c r="A33" s="5">
        <v>9</v>
      </c>
      <c r="B33" s="5">
        <v>42287.356321839077</v>
      </c>
      <c r="C33" s="5">
        <v>712.64367816092272</v>
      </c>
      <c r="D33" s="5">
        <v>1.013079981788837</v>
      </c>
    </row>
    <row r="34" spans="1:4" x14ac:dyDescent="0.25">
      <c r="A34" s="5">
        <v>10</v>
      </c>
      <c r="B34" s="5">
        <v>40042.385057471263</v>
      </c>
      <c r="C34" s="5">
        <v>-42.385057471263281</v>
      </c>
      <c r="D34" s="5">
        <v>-6.0253748916874579E-2</v>
      </c>
    </row>
    <row r="35" spans="1:4" x14ac:dyDescent="0.25">
      <c r="A35" s="5">
        <v>11</v>
      </c>
      <c r="B35" s="5">
        <v>44532.327586206899</v>
      </c>
      <c r="C35" s="5">
        <v>-532.32758620689856</v>
      </c>
      <c r="D35" s="5">
        <v>-0.75674623639670135</v>
      </c>
    </row>
    <row r="36" spans="1:4" x14ac:dyDescent="0.25">
      <c r="A36" s="5">
        <v>12</v>
      </c>
      <c r="B36" s="5">
        <v>40042.385057471263</v>
      </c>
      <c r="C36" s="5">
        <v>-542.38505747126328</v>
      </c>
      <c r="D36" s="5">
        <v>-0.77104373613968447</v>
      </c>
    </row>
    <row r="37" spans="1:4" x14ac:dyDescent="0.25">
      <c r="A37" s="5">
        <v>13</v>
      </c>
      <c r="B37" s="5">
        <v>46777.298850574713</v>
      </c>
      <c r="C37" s="5">
        <v>-777.29885057471256</v>
      </c>
      <c r="D37" s="5">
        <v>-1.1049924801366096</v>
      </c>
    </row>
    <row r="38" spans="1:4" x14ac:dyDescent="0.25">
      <c r="A38" s="5">
        <v>14</v>
      </c>
      <c r="B38" s="5">
        <v>37797.413793103449</v>
      </c>
      <c r="C38" s="5">
        <v>-297.41379310344928</v>
      </c>
      <c r="D38" s="5">
        <v>-0.42279749239977626</v>
      </c>
    </row>
    <row r="39" spans="1:4" x14ac:dyDescent="0.25">
      <c r="A39" s="5">
        <v>15</v>
      </c>
      <c r="B39" s="5">
        <v>42287.356321839077</v>
      </c>
      <c r="C39" s="5">
        <v>212.64367816092272</v>
      </c>
      <c r="D39" s="5">
        <v>0.30228999456602712</v>
      </c>
    </row>
    <row r="40" spans="1:4" x14ac:dyDescent="0.25">
      <c r="A40" s="5">
        <v>16</v>
      </c>
      <c r="B40" s="5">
        <v>37797.413793103449</v>
      </c>
      <c r="C40" s="5">
        <v>702.58620689655072</v>
      </c>
      <c r="D40" s="5">
        <v>0.99878248204584352</v>
      </c>
    </row>
    <row r="41" spans="1:4" x14ac:dyDescent="0.25">
      <c r="A41" s="5">
        <v>17</v>
      </c>
      <c r="B41" s="5">
        <v>44532.327586206899</v>
      </c>
      <c r="C41" s="5">
        <v>967.67241379310144</v>
      </c>
      <c r="D41" s="5">
        <v>1.3756237252717285</v>
      </c>
    </row>
    <row r="42" spans="1:4" x14ac:dyDescent="0.25">
      <c r="A42" s="5">
        <v>18</v>
      </c>
      <c r="B42" s="5">
        <v>40042.385057471263</v>
      </c>
      <c r="C42" s="5">
        <v>457.61494252873672</v>
      </c>
      <c r="D42" s="5">
        <v>0.65053623830593532</v>
      </c>
    </row>
    <row r="43" spans="1:4" ht="15.75" thickBot="1" x14ac:dyDescent="0.3">
      <c r="A43" s="6">
        <v>19</v>
      </c>
      <c r="B43" s="6">
        <v>42287.356321839077</v>
      </c>
      <c r="C43" s="6">
        <v>1212.6436781609227</v>
      </c>
      <c r="D43" s="6">
        <v>1.723869969011647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2AAC-6285-4E60-A9DE-A7875677CF44}">
  <dimension ref="A1:K21"/>
  <sheetViews>
    <sheetView tabSelected="1" workbookViewId="0">
      <selection activeCell="D3" sqref="D3:D21"/>
    </sheetView>
  </sheetViews>
  <sheetFormatPr defaultRowHeight="15" x14ac:dyDescent="0.25"/>
  <cols>
    <col min="1" max="1" width="19.140625" customWidth="1"/>
    <col min="2" max="2" width="21.28515625" customWidth="1"/>
    <col min="3" max="3" width="10.85546875" customWidth="1"/>
  </cols>
  <sheetData>
    <row r="1" spans="1:11" ht="30" x14ac:dyDescent="0.25">
      <c r="A1" s="1" t="s">
        <v>0</v>
      </c>
      <c r="B1" s="1" t="s">
        <v>1</v>
      </c>
      <c r="C1" s="4" t="s">
        <v>2</v>
      </c>
      <c r="D1" s="4" t="s">
        <v>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</row>
    <row r="2" spans="1:11" x14ac:dyDescent="0.25">
      <c r="A2" s="2" t="s">
        <v>4</v>
      </c>
      <c r="B2" s="2" t="s">
        <v>5</v>
      </c>
      <c r="C2" s="3">
        <v>35000</v>
      </c>
      <c r="D2" s="3">
        <v>2</v>
      </c>
      <c r="E2">
        <f>AVERAGE(C2:C21)</f>
        <v>41025</v>
      </c>
      <c r="F2">
        <f>MEDIAN(C2:C21)</f>
        <v>40750</v>
      </c>
      <c r="G2" t="e">
        <f>_xlfn.MODE.SNGL(C2:C21)</f>
        <v>#N/A</v>
      </c>
      <c r="H2">
        <f>MAX(C2:C21)-MIN(C2:C21)</f>
        <v>12000</v>
      </c>
      <c r="I2">
        <f>_xlfn.VAR.S(C2:C21)</f>
        <v>12196710.52631579</v>
      </c>
      <c r="J2">
        <f>_xlfn.STDEV.S(C2:C21)</f>
        <v>3492.3789207810469</v>
      </c>
      <c r="K2">
        <f>CORREL(C2:C21,D2:D21)</f>
        <v>0.98004965880343664</v>
      </c>
    </row>
    <row r="3" spans="1:11" x14ac:dyDescent="0.25">
      <c r="A3" s="2" t="s">
        <v>6</v>
      </c>
      <c r="B3" s="2" t="s">
        <v>7</v>
      </c>
      <c r="C3" s="3">
        <v>42000</v>
      </c>
      <c r="D3" s="3">
        <v>5</v>
      </c>
    </row>
    <row r="4" spans="1:11" x14ac:dyDescent="0.25">
      <c r="A4" s="2" t="s">
        <v>8</v>
      </c>
      <c r="B4" s="2" t="s">
        <v>9</v>
      </c>
      <c r="C4" s="3">
        <v>39000</v>
      </c>
      <c r="D4" s="3">
        <v>4</v>
      </c>
    </row>
    <row r="5" spans="1:11" x14ac:dyDescent="0.25">
      <c r="A5" s="2" t="s">
        <v>10</v>
      </c>
      <c r="B5" s="2" t="s">
        <v>11</v>
      </c>
      <c r="C5" s="3">
        <v>45000</v>
      </c>
      <c r="D5" s="3">
        <v>6</v>
      </c>
    </row>
    <row r="6" spans="1:11" x14ac:dyDescent="0.25">
      <c r="A6" s="2" t="s">
        <v>12</v>
      </c>
      <c r="B6" s="2" t="s">
        <v>13</v>
      </c>
      <c r="C6" s="3">
        <v>37000</v>
      </c>
      <c r="D6" s="3">
        <v>3</v>
      </c>
    </row>
    <row r="7" spans="1:11" x14ac:dyDescent="0.25">
      <c r="A7" s="2" t="s">
        <v>14</v>
      </c>
      <c r="B7" s="2" t="s">
        <v>15</v>
      </c>
      <c r="C7" s="3">
        <v>41000</v>
      </c>
      <c r="D7" s="3">
        <v>5</v>
      </c>
    </row>
    <row r="8" spans="1:11" x14ac:dyDescent="0.25">
      <c r="A8" s="2" t="s">
        <v>16</v>
      </c>
      <c r="B8" s="2" t="s">
        <v>17</v>
      </c>
      <c r="C8" s="3">
        <v>38000</v>
      </c>
      <c r="D8" s="3">
        <v>3</v>
      </c>
    </row>
    <row r="9" spans="1:11" x14ac:dyDescent="0.25">
      <c r="A9" s="2" t="s">
        <v>18</v>
      </c>
      <c r="B9" s="2" t="s">
        <v>19</v>
      </c>
      <c r="C9" s="3">
        <v>47000</v>
      </c>
      <c r="D9" s="3">
        <v>7</v>
      </c>
    </row>
    <row r="10" spans="1:11" x14ac:dyDescent="0.25">
      <c r="A10" s="2" t="s">
        <v>20</v>
      </c>
      <c r="B10" s="2" t="s">
        <v>21</v>
      </c>
      <c r="C10" s="3">
        <v>36000</v>
      </c>
      <c r="D10" s="3">
        <v>2</v>
      </c>
    </row>
    <row r="11" spans="1:11" x14ac:dyDescent="0.25">
      <c r="A11" s="2" t="s">
        <v>22</v>
      </c>
      <c r="B11" s="2" t="s">
        <v>23</v>
      </c>
      <c r="C11" s="3">
        <v>43000</v>
      </c>
      <c r="D11" s="3">
        <v>5</v>
      </c>
    </row>
    <row r="12" spans="1:11" x14ac:dyDescent="0.25">
      <c r="A12" s="2" t="s">
        <v>24</v>
      </c>
      <c r="B12" s="2" t="s">
        <v>25</v>
      </c>
      <c r="C12" s="3">
        <v>40000</v>
      </c>
      <c r="D12" s="3">
        <v>4</v>
      </c>
    </row>
    <row r="13" spans="1:11" x14ac:dyDescent="0.25">
      <c r="A13" s="2" t="s">
        <v>26</v>
      </c>
      <c r="B13" s="2" t="s">
        <v>27</v>
      </c>
      <c r="C13" s="3">
        <v>44000</v>
      </c>
      <c r="D13" s="3">
        <v>6</v>
      </c>
    </row>
    <row r="14" spans="1:11" x14ac:dyDescent="0.25">
      <c r="A14" s="2" t="s">
        <v>28</v>
      </c>
      <c r="B14" s="2" t="s">
        <v>29</v>
      </c>
      <c r="C14" s="3">
        <v>39500</v>
      </c>
      <c r="D14" s="3">
        <v>4</v>
      </c>
    </row>
    <row r="15" spans="1:11" x14ac:dyDescent="0.25">
      <c r="A15" s="2" t="s">
        <v>30</v>
      </c>
      <c r="B15" s="2" t="s">
        <v>31</v>
      </c>
      <c r="C15" s="3">
        <v>46000</v>
      </c>
      <c r="D15" s="3">
        <v>7</v>
      </c>
    </row>
    <row r="16" spans="1:11" x14ac:dyDescent="0.25">
      <c r="A16" s="2" t="s">
        <v>32</v>
      </c>
      <c r="B16" s="2" t="s">
        <v>33</v>
      </c>
      <c r="C16" s="3">
        <v>37500</v>
      </c>
      <c r="D16" s="3">
        <v>3</v>
      </c>
    </row>
    <row r="17" spans="1:4" x14ac:dyDescent="0.25">
      <c r="A17" s="2" t="s">
        <v>34</v>
      </c>
      <c r="B17" s="2" t="s">
        <v>35</v>
      </c>
      <c r="C17" s="3">
        <v>42500</v>
      </c>
      <c r="D17" s="3">
        <v>5</v>
      </c>
    </row>
    <row r="18" spans="1:4" x14ac:dyDescent="0.25">
      <c r="A18" s="2" t="s">
        <v>36</v>
      </c>
      <c r="B18" s="2" t="s">
        <v>37</v>
      </c>
      <c r="C18" s="3">
        <v>38500</v>
      </c>
      <c r="D18" s="3">
        <v>3</v>
      </c>
    </row>
    <row r="19" spans="1:4" x14ac:dyDescent="0.25">
      <c r="A19" s="2" t="s">
        <v>38</v>
      </c>
      <c r="B19" s="2" t="s">
        <v>39</v>
      </c>
      <c r="C19" s="3">
        <v>45500</v>
      </c>
      <c r="D19" s="3">
        <v>6</v>
      </c>
    </row>
    <row r="20" spans="1:4" x14ac:dyDescent="0.25">
      <c r="A20" s="2" t="s">
        <v>40</v>
      </c>
      <c r="B20" s="2" t="s">
        <v>41</v>
      </c>
      <c r="C20" s="3">
        <v>40500</v>
      </c>
      <c r="D20" s="3">
        <v>4</v>
      </c>
    </row>
    <row r="21" spans="1:4" x14ac:dyDescent="0.25">
      <c r="A21" s="2" t="s">
        <v>42</v>
      </c>
      <c r="B21" s="2" t="s">
        <v>43</v>
      </c>
      <c r="C21" s="3">
        <v>43500</v>
      </c>
      <c r="D21" s="3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SHANMUKASAI T</dc:creator>
  <cp:lastModifiedBy>SHANMUKASAI T</cp:lastModifiedBy>
  <dcterms:created xsi:type="dcterms:W3CDTF">2026-05-26T16:05:09Z</dcterms:created>
  <dcterms:modified xsi:type="dcterms:W3CDTF">2026-05-26T16:53:22Z</dcterms:modified>
</cp:coreProperties>
</file>