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TA_ANALYSIS_EXCEL\"/>
    </mc:Choice>
  </mc:AlternateContent>
  <xr:revisionPtr revIDLastSave="0" documentId="13_ncr:1_{C57D72E2-D097-4E20-8EB6-1D3F6A72C0AC}" xr6:coauthVersionLast="47" xr6:coauthVersionMax="47" xr10:uidLastSave="{00000000-0000-0000-0000-000000000000}"/>
  <bookViews>
    <workbookView xWindow="-120" yWindow="-120" windowWidth="20730" windowHeight="11040" activeTab="2" xr2:uid="{22B741D7-FAEF-47DF-A1AD-C85CEFBBBEC6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<sst xmlns="http://schemas.openxmlformats.org/spreadsheetml/2006/main" count="97" uniqueCount="95">
  <si>
    <t>Product_ID</t>
  </si>
  <si>
    <t>Product_Name</t>
  </si>
  <si>
    <t>Units_Sold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</si>
  <si>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</si>
  <si>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</si>
  <si>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</si>
  <si>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</si>
  <si>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</si>
  <si>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</si>
  <si>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</si>
  <si>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</si>
  <si>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</t>
  </si>
  <si>
    <t>P005</t>
  </si>
  <si>
    <t>Printer</t>
  </si>
  <si>
    <t>P006</t>
  </si>
  <si>
    <t>Speaker</t>
  </si>
  <si>
    <t>P007</t>
  </si>
  <si>
    <t>Webcam</t>
  </si>
  <si>
    <t>P008</t>
  </si>
  <si>
    <t>Router</t>
  </si>
  <si>
    <t>P009</t>
  </si>
  <si>
    <t>SSD</t>
  </si>
  <si>
    <t>P010</t>
  </si>
  <si>
    <t>Pendrive</t>
  </si>
  <si>
    <t>P011</t>
  </si>
  <si>
    <t>Charger</t>
  </si>
  <si>
    <t>P012</t>
  </si>
  <si>
    <t>Tablet</t>
  </si>
  <si>
    <t>P013</t>
  </si>
  <si>
    <t>Mobile</t>
  </si>
  <si>
    <t>P014</t>
  </si>
  <si>
    <t>Powerbank</t>
  </si>
  <si>
    <t>P015</t>
  </si>
  <si>
    <t>Earbuds</t>
  </si>
  <si>
    <t>P016</t>
  </si>
  <si>
    <t>Projector</t>
  </si>
  <si>
    <t>P017</t>
  </si>
  <si>
    <t>Scanner</t>
  </si>
  <si>
    <t>P018</t>
  </si>
  <si>
    <t>Hard Disk</t>
  </si>
  <si>
    <t>P019</t>
  </si>
  <si>
    <t>Smartwatch</t>
  </si>
  <si>
    <t>P020</t>
  </si>
  <si>
    <t>Microphone</t>
  </si>
  <si>
    <t>MEAN</t>
  </si>
  <si>
    <t>MEDIAN</t>
  </si>
  <si>
    <t>MODE</t>
  </si>
  <si>
    <t>RANGE</t>
  </si>
  <si>
    <t>VARIANCE</t>
  </si>
  <si>
    <t>STDEV</t>
  </si>
  <si>
    <t>CORREL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</si>
  <si>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</si>
  <si>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</si>
  <si>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</si>
  <si>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</si>
  <si>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</si>
  <si>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</si>
  <si>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</si>
  <si>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</si>
  <si>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</si>
  <si>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</si>
  <si>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</si>
  <si>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</si>
  <si>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</si>
  <si>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</si>
  <si>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</si>
  <si>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</si>
  <si>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</si>
  <si>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</si>
  <si>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</si>
  <si>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</si>
  <si>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</si>
  <si>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</si>
  <si>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</si>
  <si>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</si>
  <si>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</si>
  <si>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</si>
  <si>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25</t>
  </si>
  <si>
    <t>Residuals</t>
  </si>
  <si>
    <t>Standard Residuals</t>
  </si>
  <si>
    <t>PROBABILITY OUTPUT</t>
  </si>
  <si>
    <t>Percentile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</si>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</sst>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1250000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80000</c:v>
                </c:pt>
                <c:pt idx="1">
                  <c:v>120000</c:v>
                </c:pt>
                <c:pt idx="2">
                  <c:v>450000</c:v>
                </c:pt>
                <c:pt idx="3">
                  <c:v>225000</c:v>
                </c:pt>
                <c:pt idx="4">
                  <c:v>160000</c:v>
                </c:pt>
                <c:pt idx="5">
                  <c:v>88000</c:v>
                </c:pt>
                <c:pt idx="6">
                  <c:v>175000</c:v>
                </c:pt>
                <c:pt idx="7">
                  <c:v>300000</c:v>
                </c:pt>
                <c:pt idx="8">
                  <c:v>75000</c:v>
                </c:pt>
                <c:pt idx="9">
                  <c:v>65000</c:v>
                </c:pt>
                <c:pt idx="10">
                  <c:v>360000</c:v>
                </c:pt>
                <c:pt idx="11">
                  <c:v>1100000</c:v>
                </c:pt>
                <c:pt idx="12">
                  <c:v>144000</c:v>
                </c:pt>
                <c:pt idx="13">
                  <c:v>210000</c:v>
                </c:pt>
                <c:pt idx="14">
                  <c:v>480000</c:v>
                </c:pt>
                <c:pt idx="15">
                  <c:v>200000</c:v>
                </c:pt>
                <c:pt idx="16">
                  <c:v>280000</c:v>
                </c:pt>
                <c:pt idx="17">
                  <c:v>450000</c:v>
                </c:pt>
                <c:pt idx="18">
                  <c:v>96000</c:v>
                </c:pt>
              </c:numCache>
            </c:numRef>
          </c:xVal>
          <c:yVal>
            <c:numRef>
              <c:f>Sheet2!$C$25:$C$43</c:f>
              <c:numCache>
                <c:formatCode>General</c:formatCode>
                <c:ptCount val="19"/>
                <c:pt idx="0">
                  <c:v>36.807209538037441</c:v>
                </c:pt>
                <c:pt idx="1">
                  <c:v>17.221715120595817</c:v>
                </c:pt>
                <c:pt idx="2">
                  <c:v>-9.3586138232975529</c:v>
                </c:pt>
                <c:pt idx="3">
                  <c:v>-26.690207725188436</c:v>
                </c:pt>
                <c:pt idx="4">
                  <c:v>-2.3637792968458058</c:v>
                </c:pt>
                <c:pt idx="5">
                  <c:v>-21.109889345450888</c:v>
                </c:pt>
                <c:pt idx="6">
                  <c:v>-7.2083397033864145</c:v>
                </c:pt>
                <c:pt idx="7">
                  <c:v>9.08699024210852</c:v>
                </c:pt>
                <c:pt idx="8">
                  <c:v>31.755396340217644</c:v>
                </c:pt>
                <c:pt idx="9">
                  <c:v>21.651769944578049</c:v>
                </c:pt>
                <c:pt idx="10">
                  <c:v>-22.291251384053908</c:v>
                </c:pt>
                <c:pt idx="11">
                  <c:v>22.377101893276105</c:v>
                </c:pt>
                <c:pt idx="12">
                  <c:v>5.4704184701308449</c:v>
                </c:pt>
                <c:pt idx="13">
                  <c:v>28.154352681352172</c:v>
                </c:pt>
                <c:pt idx="14">
                  <c:v>-27.04773463637877</c:v>
                </c:pt>
                <c:pt idx="15">
                  <c:v>-21.949273714287422</c:v>
                </c:pt>
                <c:pt idx="16">
                  <c:v>-13.120262549170668</c:v>
                </c:pt>
                <c:pt idx="17">
                  <c:v>5.6413861767024471</c:v>
                </c:pt>
                <c:pt idx="18">
                  <c:v>-27.02698822893921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1A-4398-8B5F-CA806B456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920416"/>
        <c:axId val="1447393696"/>
      </c:scatterChart>
      <c:valAx>
        <c:axId val="160192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1250000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7393696"/>
        <c:crosses val="autoZero"/>
        <c:crossBetween val="midCat"/>
      </c:valAx>
      <c:valAx>
        <c:axId val="1447393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192041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1250000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80000</c:v>
                </c:pt>
                <c:pt idx="1">
                  <c:v>120000</c:v>
                </c:pt>
                <c:pt idx="2">
                  <c:v>450000</c:v>
                </c:pt>
                <c:pt idx="3">
                  <c:v>225000</c:v>
                </c:pt>
                <c:pt idx="4">
                  <c:v>160000</c:v>
                </c:pt>
                <c:pt idx="5">
                  <c:v>88000</c:v>
                </c:pt>
                <c:pt idx="6">
                  <c:v>175000</c:v>
                </c:pt>
                <c:pt idx="7">
                  <c:v>300000</c:v>
                </c:pt>
                <c:pt idx="8">
                  <c:v>75000</c:v>
                </c:pt>
                <c:pt idx="9">
                  <c:v>65000</c:v>
                </c:pt>
                <c:pt idx="10">
                  <c:v>360000</c:v>
                </c:pt>
                <c:pt idx="11">
                  <c:v>1100000</c:v>
                </c:pt>
                <c:pt idx="12">
                  <c:v>144000</c:v>
                </c:pt>
                <c:pt idx="13">
                  <c:v>210000</c:v>
                </c:pt>
                <c:pt idx="14">
                  <c:v>480000</c:v>
                </c:pt>
                <c:pt idx="15">
                  <c:v>200000</c:v>
                </c:pt>
                <c:pt idx="16">
                  <c:v>280000</c:v>
                </c:pt>
                <c:pt idx="17">
                  <c:v>450000</c:v>
                </c:pt>
                <c:pt idx="18">
                  <c:v>96000</c:v>
                </c:pt>
              </c:numCache>
            </c:numRef>
          </c:xVal>
          <c:yVal>
            <c:numRef>
              <c:f>Sheet1!$C$3:$C$21</c:f>
              <c:numCache>
                <c:formatCode>General</c:formatCode>
                <c:ptCount val="19"/>
                <c:pt idx="0">
                  <c:v>80</c:v>
                </c:pt>
                <c:pt idx="1">
                  <c:v>60</c:v>
                </c:pt>
                <c:pt idx="2">
                  <c:v>30</c:v>
                </c:pt>
                <c:pt idx="3">
                  <c:v>15</c:v>
                </c:pt>
                <c:pt idx="4">
                  <c:v>40</c:v>
                </c:pt>
                <c:pt idx="5">
                  <c:v>22</c:v>
                </c:pt>
                <c:pt idx="6">
                  <c:v>35</c:v>
                </c:pt>
                <c:pt idx="7">
                  <c:v>50</c:v>
                </c:pt>
                <c:pt idx="8">
                  <c:v>75</c:v>
                </c:pt>
                <c:pt idx="9">
                  <c:v>65</c:v>
                </c:pt>
                <c:pt idx="10">
                  <c:v>18</c:v>
                </c:pt>
                <c:pt idx="11">
                  <c:v>55</c:v>
                </c:pt>
                <c:pt idx="12">
                  <c:v>48</c:v>
                </c:pt>
                <c:pt idx="13">
                  <c:v>70</c:v>
                </c:pt>
                <c:pt idx="14">
                  <c:v>12</c:v>
                </c:pt>
                <c:pt idx="15">
                  <c:v>20</c:v>
                </c:pt>
                <c:pt idx="16">
                  <c:v>28</c:v>
                </c:pt>
                <c:pt idx="17">
                  <c:v>45</c:v>
                </c:pt>
                <c:pt idx="18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1F-42CE-B0F0-77557B5A3590}"/>
            </c:ext>
          </c:extLst>
        </c:ser>
        <c:ser>
          <c:idx val="1"/>
          <c:order val="1"/>
          <c:tx>
            <c:v>Predicted 25</c:v>
          </c:tx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80000</c:v>
                </c:pt>
                <c:pt idx="1">
                  <c:v>120000</c:v>
                </c:pt>
                <c:pt idx="2">
                  <c:v>450000</c:v>
                </c:pt>
                <c:pt idx="3">
                  <c:v>225000</c:v>
                </c:pt>
                <c:pt idx="4">
                  <c:v>160000</c:v>
                </c:pt>
                <c:pt idx="5">
                  <c:v>88000</c:v>
                </c:pt>
                <c:pt idx="6">
                  <c:v>175000</c:v>
                </c:pt>
                <c:pt idx="7">
                  <c:v>300000</c:v>
                </c:pt>
                <c:pt idx="8">
                  <c:v>75000</c:v>
                </c:pt>
                <c:pt idx="9">
                  <c:v>65000</c:v>
                </c:pt>
                <c:pt idx="10">
                  <c:v>360000</c:v>
                </c:pt>
                <c:pt idx="11">
                  <c:v>1100000</c:v>
                </c:pt>
                <c:pt idx="12">
                  <c:v>144000</c:v>
                </c:pt>
                <c:pt idx="13">
                  <c:v>210000</c:v>
                </c:pt>
                <c:pt idx="14">
                  <c:v>480000</c:v>
                </c:pt>
                <c:pt idx="15">
                  <c:v>200000</c:v>
                </c:pt>
                <c:pt idx="16">
                  <c:v>280000</c:v>
                </c:pt>
                <c:pt idx="17">
                  <c:v>450000</c:v>
                </c:pt>
                <c:pt idx="18">
                  <c:v>96000</c:v>
                </c:pt>
              </c:numCache>
            </c:numRef>
          </c:xVal>
          <c:yVal>
            <c:numRef>
              <c:f>Sheet2!$B$25:$B$43</c:f>
              <c:numCache>
                <c:formatCode>General</c:formatCode>
                <c:ptCount val="19"/>
                <c:pt idx="0">
                  <c:v>43.192790461962559</c:v>
                </c:pt>
                <c:pt idx="1">
                  <c:v>42.778284879404183</c:v>
                </c:pt>
                <c:pt idx="2">
                  <c:v>39.358613823297553</c:v>
                </c:pt>
                <c:pt idx="3">
                  <c:v>41.690207725188436</c:v>
                </c:pt>
                <c:pt idx="4">
                  <c:v>42.363779296845806</c:v>
                </c:pt>
                <c:pt idx="5">
                  <c:v>43.109889345450888</c:v>
                </c:pt>
                <c:pt idx="6">
                  <c:v>42.208339703386414</c:v>
                </c:pt>
                <c:pt idx="7">
                  <c:v>40.91300975789148</c:v>
                </c:pt>
                <c:pt idx="8">
                  <c:v>43.244603659782356</c:v>
                </c:pt>
                <c:pt idx="9">
                  <c:v>43.348230055421951</c:v>
                </c:pt>
                <c:pt idx="10">
                  <c:v>40.291251384053908</c:v>
                </c:pt>
                <c:pt idx="11">
                  <c:v>32.622898106723895</c:v>
                </c:pt>
                <c:pt idx="12">
                  <c:v>42.529581529869155</c:v>
                </c:pt>
                <c:pt idx="13">
                  <c:v>41.845647318647828</c:v>
                </c:pt>
                <c:pt idx="14">
                  <c:v>39.04773463637877</c:v>
                </c:pt>
                <c:pt idx="15">
                  <c:v>41.949273714287422</c:v>
                </c:pt>
                <c:pt idx="16">
                  <c:v>41.120262549170668</c:v>
                </c:pt>
                <c:pt idx="17">
                  <c:v>39.358613823297553</c:v>
                </c:pt>
                <c:pt idx="18">
                  <c:v>43.02698822893921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1F-42CE-B0F0-77557B5A3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080432"/>
        <c:axId val="1017079472"/>
      </c:scatterChart>
      <c:valAx>
        <c:axId val="101708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1250000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7079472"/>
        <c:crosses val="autoZero"/>
        <c:crossBetween val="midCat"/>
      </c:valAx>
      <c:valAx>
        <c:axId val="1017079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70804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Sheet2!$F$25:$F$43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Sheet2!$G$25:$G$43</c:f>
              <c:numCache>
                <c:formatCode>General</c:formatCode>
                <c:ptCount val="19"/>
                <c:pt idx="0">
                  <c:v>12</c:v>
                </c:pt>
                <c:pt idx="1">
                  <c:v>15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28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A2-4CC3-BB54-96452D801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26752"/>
        <c:axId val="1488024832"/>
      </c:scatterChart>
      <c:valAx>
        <c:axId val="148802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024832"/>
        <c:crosses val="autoZero"/>
        <c:crossBetween val="midCat"/>
      </c:valAx>
      <c:valAx>
        <c:axId val="1488024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80267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Sheet1!$C$2:$C$21</c:f>
              <c:numCache>
                <c:formatCode>General</c:formatCode>
                <c:ptCount val="20"/>
                <c:pt idx="0">
                  <c:v>25</c:v>
                </c:pt>
                <c:pt idx="1">
                  <c:v>80</c:v>
                </c:pt>
                <c:pt idx="2">
                  <c:v>60</c:v>
                </c:pt>
                <c:pt idx="3">
                  <c:v>30</c:v>
                </c:pt>
                <c:pt idx="4">
                  <c:v>15</c:v>
                </c:pt>
                <c:pt idx="5">
                  <c:v>40</c:v>
                </c:pt>
                <c:pt idx="6">
                  <c:v>22</c:v>
                </c:pt>
                <c:pt idx="7">
                  <c:v>35</c:v>
                </c:pt>
                <c:pt idx="8">
                  <c:v>50</c:v>
                </c:pt>
                <c:pt idx="9">
                  <c:v>75</c:v>
                </c:pt>
                <c:pt idx="10">
                  <c:v>65</c:v>
                </c:pt>
                <c:pt idx="11">
                  <c:v>18</c:v>
                </c:pt>
                <c:pt idx="12">
                  <c:v>55</c:v>
                </c:pt>
                <c:pt idx="13">
                  <c:v>48</c:v>
                </c:pt>
                <c:pt idx="14">
                  <c:v>70</c:v>
                </c:pt>
                <c:pt idx="15">
                  <c:v>12</c:v>
                </c:pt>
                <c:pt idx="16">
                  <c:v>20</c:v>
                </c:pt>
                <c:pt idx="17">
                  <c:v>28</c:v>
                </c:pt>
                <c:pt idx="18">
                  <c:v>45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6-42C5-8913-F1FFF4876A1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Sheet1!$D$2:$D$21</c:f>
              <c:numCache>
                <c:formatCode>General</c:formatCode>
                <c:ptCount val="20"/>
                <c:pt idx="0">
                  <c:v>1250000</c:v>
                </c:pt>
                <c:pt idx="1">
                  <c:v>80000</c:v>
                </c:pt>
                <c:pt idx="2">
                  <c:v>120000</c:v>
                </c:pt>
                <c:pt idx="3">
                  <c:v>450000</c:v>
                </c:pt>
                <c:pt idx="4">
                  <c:v>225000</c:v>
                </c:pt>
                <c:pt idx="5">
                  <c:v>160000</c:v>
                </c:pt>
                <c:pt idx="6">
                  <c:v>88000</c:v>
                </c:pt>
                <c:pt idx="7">
                  <c:v>175000</c:v>
                </c:pt>
                <c:pt idx="8">
                  <c:v>300000</c:v>
                </c:pt>
                <c:pt idx="9">
                  <c:v>75000</c:v>
                </c:pt>
                <c:pt idx="10">
                  <c:v>65000</c:v>
                </c:pt>
                <c:pt idx="11">
                  <c:v>360000</c:v>
                </c:pt>
                <c:pt idx="12">
                  <c:v>1100000</c:v>
                </c:pt>
                <c:pt idx="13">
                  <c:v>144000</c:v>
                </c:pt>
                <c:pt idx="14">
                  <c:v>210000</c:v>
                </c:pt>
                <c:pt idx="15">
                  <c:v>480000</c:v>
                </c:pt>
                <c:pt idx="16">
                  <c:v>200000</c:v>
                </c:pt>
                <c:pt idx="17">
                  <c:v>280000</c:v>
                </c:pt>
                <c:pt idx="18">
                  <c:v>450000</c:v>
                </c:pt>
                <c:pt idx="19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6-42C5-8913-F1FFF4876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6520464"/>
        <c:axId val="1486520944"/>
      </c:barChart>
      <c:catAx>
        <c:axId val="148652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20944"/>
        <c:crosses val="autoZero"/>
        <c:auto val="1"/>
        <c:lblAlgn val="ctr"/>
        <c:lblOffset val="100"/>
        <c:noMultiLvlLbl val="0"/>
      </c:catAx>
      <c:valAx>
        <c:axId val="148652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52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Sheet1!$D$2:$D$21</c:f>
              <c:numCache>
                <c:formatCode>General</c:formatCode>
                <c:ptCount val="20"/>
                <c:pt idx="0">
                  <c:v>1250000</c:v>
                </c:pt>
                <c:pt idx="1">
                  <c:v>80000</c:v>
                </c:pt>
                <c:pt idx="2">
                  <c:v>120000</c:v>
                </c:pt>
                <c:pt idx="3">
                  <c:v>450000</c:v>
                </c:pt>
                <c:pt idx="4">
                  <c:v>225000</c:v>
                </c:pt>
                <c:pt idx="5">
                  <c:v>160000</c:v>
                </c:pt>
                <c:pt idx="6">
                  <c:v>88000</c:v>
                </c:pt>
                <c:pt idx="7">
                  <c:v>175000</c:v>
                </c:pt>
                <c:pt idx="8">
                  <c:v>300000</c:v>
                </c:pt>
                <c:pt idx="9">
                  <c:v>75000</c:v>
                </c:pt>
                <c:pt idx="10">
                  <c:v>65000</c:v>
                </c:pt>
                <c:pt idx="11">
                  <c:v>360000</c:v>
                </c:pt>
                <c:pt idx="12">
                  <c:v>1100000</c:v>
                </c:pt>
                <c:pt idx="13">
                  <c:v>144000</c:v>
                </c:pt>
                <c:pt idx="14">
                  <c:v>210000</c:v>
                </c:pt>
                <c:pt idx="15">
                  <c:v>480000</c:v>
                </c:pt>
                <c:pt idx="16">
                  <c:v>200000</c:v>
                </c:pt>
                <c:pt idx="17">
                  <c:v>280000</c:v>
                </c:pt>
                <c:pt idx="18">
                  <c:v>450000</c:v>
                </c:pt>
                <c:pt idx="19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D-4AC5-B414-0942A453C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788528"/>
        <c:axId val="1147794768"/>
      </c:barChart>
      <c:catAx>
        <c:axId val="114778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94768"/>
        <c:crosses val="autoZero"/>
        <c:auto val="1"/>
        <c:lblAlgn val="ctr"/>
        <c:lblOffset val="100"/>
        <c:noMultiLvlLbl val="0"/>
      </c:catAx>
      <c:valAx>
        <c:axId val="11477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8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3AEE2-5262-0D9D-D599-57CF29083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381000</xdr:colOff>
      <xdr:row>3</xdr:row>
      <xdr:rowOff>133350</xdr:rowOff>
    </xdr:from>
    <xdr:to>
      <xdr:col>21</xdr:col>
      <xdr:colOff>381000</xdr:colOff>
      <xdr:row>13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E8BB96-4BD3-4748-0F9B-6836242B5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247650</xdr:colOff>
      <xdr:row>14</xdr:row>
      <xdr:rowOff>66675</xdr:rowOff>
    </xdr:from>
    <xdr:to>
      <xdr:col>16</xdr:col>
      <xdr:colOff>247650</xdr:colOff>
      <xdr:row>24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481C00-2C4D-12EF-5E85-C6A90F7C7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2</xdr:row>
      <xdr:rowOff>109537</xdr:rowOff>
    </xdr:from>
    <xdr:to>
      <xdr:col>11</xdr:col>
      <xdr:colOff>390525</xdr:colOff>
      <xdr:row>16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8A4C6-EF82-D424-175B-8F2C99A73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419100</xdr:colOff>
      <xdr:row>2</xdr:row>
      <xdr:rowOff>71437</xdr:rowOff>
    </xdr:from>
    <xdr:to>
      <xdr:col>19</xdr:col>
      <xdr:colOff>114300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6319AA-5950-3DD7-3CCF-380BEEEF9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6E82-9315-48C6-AA0E-B09B2DDC74ED}">
  <dimension ref="A1:I43"/>
  <sheetViews>
    <sheetView workbookViewId="0">
      <selection sqref="A1:I43"/>
    </sheetView>
  </sheetViews>
  <sheetFormatPr defaultRowHeight="15" x14ac:dyDescent="0.25"/>
  <sheetData>
    <row r="1" spans="1:9" x14ac:dyDescent="0.25">
      <c r="A1" t="s">
        <v>51</v>
      </c>
    </row>
    <row r="2" spans="1:9" ht="15.75" thickBot="1" x14ac:dyDescent="0.3"/>
    <row r="3" spans="1:9" x14ac:dyDescent="0.25">
      <c r="A3" s="8" t="s">
        <v>52</v>
      </c>
      <c r="B3" s="8"/>
    </row>
    <row r="4" spans="1:9" x14ac:dyDescent="0.25">
      <c r="A4" s="5" t="s">
        <v>53</v>
      </c>
      <c r="B4" s="5">
        <v>0.11486927962931105</v>
      </c>
    </row>
    <row r="5" spans="1:9" x14ac:dyDescent="0.25">
      <c r="A5" s="5" t="s">
        <v>54</v>
      </c>
      <c r="B5" s="5">
        <v>1.3194951402556854E-2</v>
      </c>
    </row>
    <row r="6" spans="1:9" x14ac:dyDescent="0.25">
      <c r="A6" s="5" t="s">
        <v>55</v>
      </c>
      <c r="B6" s="5">
        <v>-4.4852404397292739E-2</v>
      </c>
    </row>
    <row r="7" spans="1:9" x14ac:dyDescent="0.25">
      <c r="A7" s="5" t="s">
        <v>56</v>
      </c>
      <c r="B7" s="5">
        <v>22.33733958446194</v>
      </c>
    </row>
    <row r="8" spans="1:9" ht="15.75" thickBot="1" x14ac:dyDescent="0.3">
      <c r="A8" s="6" t="s">
        <v>57</v>
      </c>
      <c r="B8" s="6">
        <v>19</v>
      </c>
    </row>
    <row r="10" spans="1:9" ht="15.75" thickBot="1" x14ac:dyDescent="0.3">
      <c r="A10" t="s">
        <v>58</v>
      </c>
    </row>
    <row r="11" spans="1:9" x14ac:dyDescent="0.25">
      <c r="A11" s="7"/>
      <c r="B11" s="7" t="s">
        <v>63</v>
      </c>
      <c r="C11" s="7" t="s">
        <v>64</v>
      </c>
      <c r="D11" s="7" t="s">
        <v>65</v>
      </c>
      <c r="E11" s="7" t="s">
        <v>66</v>
      </c>
      <c r="F11" s="7" t="s">
        <v>67</v>
      </c>
    </row>
    <row r="12" spans="1:9" x14ac:dyDescent="0.25">
      <c r="A12" s="5" t="s">
        <v>59</v>
      </c>
      <c r="B12" s="5">
        <v>1</v>
      </c>
      <c r="C12" s="5">
        <v>113.41963542962003</v>
      </c>
      <c r="D12" s="5">
        <v>113.41963542962003</v>
      </c>
      <c r="E12" s="5">
        <v>0.22731356529061816</v>
      </c>
      <c r="F12" s="5">
        <v>0.63959395652638218</v>
      </c>
    </row>
    <row r="13" spans="1:9" x14ac:dyDescent="0.25">
      <c r="A13" s="5" t="s">
        <v>60</v>
      </c>
      <c r="B13" s="5">
        <v>17</v>
      </c>
      <c r="C13" s="5">
        <v>8482.2645750966967</v>
      </c>
      <c r="D13" s="5">
        <v>498.95673971157038</v>
      </c>
      <c r="E13" s="5"/>
      <c r="F13" s="5"/>
    </row>
    <row r="14" spans="1:9" ht="15.75" thickBot="1" x14ac:dyDescent="0.3">
      <c r="A14" s="6" t="s">
        <v>61</v>
      </c>
      <c r="B14" s="6">
        <v>18</v>
      </c>
      <c r="C14" s="6">
        <v>8595.6842105263167</v>
      </c>
      <c r="D14" s="6"/>
      <c r="E14" s="6"/>
      <c r="F14" s="6"/>
    </row>
    <row r="15" spans="1:9" ht="15.75" thickBot="1" x14ac:dyDescent="0.3"/>
    <row r="16" spans="1:9" x14ac:dyDescent="0.25">
      <c r="A16" s="7"/>
      <c r="B16" s="7" t="s">
        <v>68</v>
      </c>
      <c r="C16" s="7" t="s">
        <v>56</v>
      </c>
      <c r="D16" s="7" t="s">
        <v>69</v>
      </c>
      <c r="E16" s="7" t="s">
        <v>70</v>
      </c>
      <c r="F16" s="7" t="s">
        <v>71</v>
      </c>
      <c r="G16" s="7" t="s">
        <v>72</v>
      </c>
      <c r="H16" s="7" t="s">
        <v>73</v>
      </c>
      <c r="I16" s="7" t="s">
        <v>74</v>
      </c>
    </row>
    <row r="17" spans="1:9" x14ac:dyDescent="0.25">
      <c r="A17" s="5" t="s">
        <v>62</v>
      </c>
      <c r="B17" s="5">
        <v>44.02180162707932</v>
      </c>
      <c r="C17" s="5">
        <v>7.7291249467971328</v>
      </c>
      <c r="D17" s="5">
        <v>5.6955738107612666</v>
      </c>
      <c r="E17" s="5">
        <v>2.6284319679149588E-5</v>
      </c>
      <c r="F17" s="5">
        <v>27.714773411306624</v>
      </c>
      <c r="G17" s="5">
        <v>60.328829842852016</v>
      </c>
      <c r="H17" s="5">
        <v>27.714773411306624</v>
      </c>
      <c r="I17" s="5">
        <v>60.328829842852016</v>
      </c>
    </row>
    <row r="18" spans="1:9" ht="15.75" thickBot="1" x14ac:dyDescent="0.3">
      <c r="A18" s="6">
        <v>1250000</v>
      </c>
      <c r="B18" s="6">
        <v>-1.0362639563959478E-5</v>
      </c>
      <c r="C18" s="6">
        <v>2.1734903475041233E-5</v>
      </c>
      <c r="D18" s="6">
        <v>-0.47677412397341318</v>
      </c>
      <c r="E18" s="6">
        <v>0.63959395652638418</v>
      </c>
      <c r="F18" s="6">
        <v>-5.6219277498304966E-5</v>
      </c>
      <c r="G18" s="6">
        <v>3.5493998370386011E-5</v>
      </c>
      <c r="H18" s="6">
        <v>-5.6219277498304966E-5</v>
      </c>
      <c r="I18" s="6">
        <v>3.5493998370386011E-5</v>
      </c>
    </row>
    <row r="22" spans="1:9" x14ac:dyDescent="0.25">
      <c r="A22" t="s">
        <v>75</v>
      </c>
      <c r="F22" t="s">
        <v>80</v>
      </c>
    </row>
    <row r="23" spans="1:9" ht="15.75" thickBot="1" x14ac:dyDescent="0.3"/>
    <row r="24" spans="1:9" x14ac:dyDescent="0.25">
      <c r="A24" s="7" t="s">
        <v>76</v>
      </c>
      <c r="B24" s="7" t="s">
        <v>77</v>
      </c>
      <c r="C24" s="7" t="s">
        <v>78</v>
      </c>
      <c r="D24" s="7" t="s">
        <v>79</v>
      </c>
      <c r="F24" s="7" t="s">
        <v>81</v>
      </c>
      <c r="G24" s="7">
        <v>25</v>
      </c>
    </row>
    <row r="25" spans="1:9" x14ac:dyDescent="0.25">
      <c r="A25" s="5">
        <v>1</v>
      </c>
      <c r="B25" s="5">
        <v>43.192790461962559</v>
      </c>
      <c r="C25" s="5">
        <v>36.807209538037441</v>
      </c>
      <c r="D25" s="5">
        <v>1.6955602975767705</v>
      </c>
      <c r="F25" s="5">
        <v>2.6315789473684212</v>
      </c>
      <c r="G25" s="5">
        <v>12</v>
      </c>
    </row>
    <row r="26" spans="1:9" x14ac:dyDescent="0.25">
      <c r="A26" s="5">
        <v>2</v>
      </c>
      <c r="B26" s="5">
        <v>42.778284879404183</v>
      </c>
      <c r="C26" s="5">
        <v>17.221715120595817</v>
      </c>
      <c r="D26" s="5">
        <v>0.793335240056255</v>
      </c>
      <c r="F26" s="5">
        <v>7.8947368421052637</v>
      </c>
      <c r="G26" s="5">
        <v>15</v>
      </c>
    </row>
    <row r="27" spans="1:9" x14ac:dyDescent="0.25">
      <c r="A27" s="5">
        <v>3</v>
      </c>
      <c r="B27" s="5">
        <v>39.358613823297553</v>
      </c>
      <c r="C27" s="5">
        <v>-9.3586138232975529</v>
      </c>
      <c r="D27" s="5">
        <v>-0.43111374750476567</v>
      </c>
      <c r="F27" s="5">
        <v>13.157894736842106</v>
      </c>
      <c r="G27" s="5">
        <v>16</v>
      </c>
    </row>
    <row r="28" spans="1:9" x14ac:dyDescent="0.25">
      <c r="A28" s="5">
        <v>4</v>
      </c>
      <c r="B28" s="5">
        <v>41.690207725188436</v>
      </c>
      <c r="C28" s="5">
        <v>-26.690207725188436</v>
      </c>
      <c r="D28" s="5">
        <v>-1.2295106616582516</v>
      </c>
      <c r="F28" s="5">
        <v>18.421052631578949</v>
      </c>
      <c r="G28" s="5">
        <v>18</v>
      </c>
    </row>
    <row r="29" spans="1:9" x14ac:dyDescent="0.25">
      <c r="A29" s="5">
        <v>5</v>
      </c>
      <c r="B29" s="5">
        <v>42.363779296845806</v>
      </c>
      <c r="C29" s="5">
        <v>-2.3637792968458058</v>
      </c>
      <c r="D29" s="5">
        <v>-0.10888981746426046</v>
      </c>
      <c r="F29" s="5">
        <v>23.684210526315791</v>
      </c>
      <c r="G29" s="5">
        <v>20</v>
      </c>
    </row>
    <row r="30" spans="1:9" x14ac:dyDescent="0.25">
      <c r="A30" s="5">
        <v>6</v>
      </c>
      <c r="B30" s="5">
        <v>43.109889345450888</v>
      </c>
      <c r="C30" s="5">
        <v>-21.109889345450888</v>
      </c>
      <c r="D30" s="5">
        <v>-0.9724478087206252</v>
      </c>
      <c r="F30" s="5">
        <v>28.947368421052634</v>
      </c>
      <c r="G30" s="5">
        <v>22</v>
      </c>
    </row>
    <row r="31" spans="1:9" x14ac:dyDescent="0.25">
      <c r="A31" s="5">
        <v>7</v>
      </c>
      <c r="B31" s="5">
        <v>42.208339703386414</v>
      </c>
      <c r="C31" s="5">
        <v>-7.2083397033864145</v>
      </c>
      <c r="D31" s="5">
        <v>-0.33205925594217173</v>
      </c>
      <c r="F31" s="5">
        <v>34.21052631578948</v>
      </c>
      <c r="G31" s="5">
        <v>28</v>
      </c>
    </row>
    <row r="32" spans="1:9" x14ac:dyDescent="0.25">
      <c r="A32" s="5">
        <v>8</v>
      </c>
      <c r="B32" s="5">
        <v>40.91300975789148</v>
      </c>
      <c r="C32" s="5">
        <v>9.08699024210852</v>
      </c>
      <c r="D32" s="5">
        <v>0.41860114016696148</v>
      </c>
      <c r="F32" s="5">
        <v>39.473684210526315</v>
      </c>
      <c r="G32" s="5">
        <v>30</v>
      </c>
    </row>
    <row r="33" spans="1:7" x14ac:dyDescent="0.25">
      <c r="A33" s="5">
        <v>9</v>
      </c>
      <c r="B33" s="5">
        <v>43.244603659782356</v>
      </c>
      <c r="C33" s="5">
        <v>31.755396340217644</v>
      </c>
      <c r="D33" s="5">
        <v>1.4628435554899888</v>
      </c>
      <c r="F33" s="5">
        <v>44.736842105263165</v>
      </c>
      <c r="G33" s="5">
        <v>35</v>
      </c>
    </row>
    <row r="34" spans="1:7" x14ac:dyDescent="0.25">
      <c r="A34" s="5">
        <v>10</v>
      </c>
      <c r="B34" s="5">
        <v>43.348230055421951</v>
      </c>
      <c r="C34" s="5">
        <v>21.651769944578049</v>
      </c>
      <c r="D34" s="5">
        <v>0.99741007131642534</v>
      </c>
      <c r="F34" s="5">
        <v>50</v>
      </c>
      <c r="G34" s="5">
        <v>40</v>
      </c>
    </row>
    <row r="35" spans="1:7" x14ac:dyDescent="0.25">
      <c r="A35" s="5">
        <v>11</v>
      </c>
      <c r="B35" s="5">
        <v>40.291251384053908</v>
      </c>
      <c r="C35" s="5">
        <v>-22.291251384053908</v>
      </c>
      <c r="D35" s="5">
        <v>-1.0268684125876371</v>
      </c>
      <c r="F35" s="5">
        <v>55.26315789473685</v>
      </c>
      <c r="G35" s="5">
        <v>45</v>
      </c>
    </row>
    <row r="36" spans="1:7" x14ac:dyDescent="0.25">
      <c r="A36" s="5">
        <v>12</v>
      </c>
      <c r="B36" s="5">
        <v>32.622898106723895</v>
      </c>
      <c r="C36" s="5">
        <v>22.377101893276105</v>
      </c>
      <c r="D36" s="5">
        <v>1.0308232007063471</v>
      </c>
      <c r="F36" s="5">
        <v>60.526315789473685</v>
      </c>
      <c r="G36" s="5">
        <v>48</v>
      </c>
    </row>
    <row r="37" spans="1:7" x14ac:dyDescent="0.25">
      <c r="A37" s="5">
        <v>13</v>
      </c>
      <c r="B37" s="5">
        <v>42.529581529869155</v>
      </c>
      <c r="C37" s="5">
        <v>5.4704184701308449</v>
      </c>
      <c r="D37" s="5">
        <v>0.25200020554394581</v>
      </c>
      <c r="F37" s="5">
        <v>65.789473684210535</v>
      </c>
      <c r="G37" s="5">
        <v>50</v>
      </c>
    </row>
    <row r="38" spans="1:7" x14ac:dyDescent="0.25">
      <c r="A38" s="5">
        <v>14</v>
      </c>
      <c r="B38" s="5">
        <v>41.845647318647828</v>
      </c>
      <c r="C38" s="5">
        <v>28.154352681352172</v>
      </c>
      <c r="D38" s="5">
        <v>1.2969579386653007</v>
      </c>
      <c r="F38" s="5">
        <v>71.052631578947384</v>
      </c>
      <c r="G38" s="5">
        <v>55</v>
      </c>
    </row>
    <row r="39" spans="1:7" x14ac:dyDescent="0.25">
      <c r="A39" s="5">
        <v>15</v>
      </c>
      <c r="B39" s="5">
        <v>39.04773463637877</v>
      </c>
      <c r="C39" s="5">
        <v>-27.04773463637877</v>
      </c>
      <c r="D39" s="5">
        <v>-1.2459804903558909</v>
      </c>
      <c r="F39" s="5">
        <v>76.31578947368422</v>
      </c>
      <c r="G39" s="5">
        <v>60</v>
      </c>
    </row>
    <row r="40" spans="1:7" x14ac:dyDescent="0.25">
      <c r="A40" s="5">
        <v>16</v>
      </c>
      <c r="B40" s="5">
        <v>41.949273714287422</v>
      </c>
      <c r="C40" s="5">
        <v>-21.949273714287422</v>
      </c>
      <c r="D40" s="5">
        <v>-1.0111148749847756</v>
      </c>
      <c r="F40" s="5">
        <v>81.578947368421055</v>
      </c>
      <c r="G40" s="5">
        <v>65</v>
      </c>
    </row>
    <row r="41" spans="1:7" x14ac:dyDescent="0.25">
      <c r="A41" s="5">
        <v>17</v>
      </c>
      <c r="B41" s="5">
        <v>41.120262549170668</v>
      </c>
      <c r="C41" s="5">
        <v>-13.120262549170668</v>
      </c>
      <c r="D41" s="5">
        <v>-0.60439779465399113</v>
      </c>
      <c r="F41" s="5">
        <v>86.842105263157904</v>
      </c>
      <c r="G41" s="5">
        <v>70</v>
      </c>
    </row>
    <row r="42" spans="1:7" x14ac:dyDescent="0.25">
      <c r="A42" s="5">
        <v>18</v>
      </c>
      <c r="B42" s="5">
        <v>39.358613823297553</v>
      </c>
      <c r="C42" s="5">
        <v>5.6413861767024471</v>
      </c>
      <c r="D42" s="5">
        <v>0.25987600104892666</v>
      </c>
      <c r="F42" s="5">
        <v>92.105263157894754</v>
      </c>
      <c r="G42" s="5">
        <v>75</v>
      </c>
    </row>
    <row r="43" spans="1:7" ht="15.75" thickBot="1" x14ac:dyDescent="0.3">
      <c r="A43" s="6">
        <v>19</v>
      </c>
      <c r="B43" s="6">
        <v>43.02698822893921</v>
      </c>
      <c r="C43" s="6">
        <v>-27.02698822893921</v>
      </c>
      <c r="D43" s="6">
        <v>-1.2450247866985538</v>
      </c>
      <c r="F43" s="6">
        <v>97.368421052631589</v>
      </c>
      <c r="G43" s="6">
        <v>80</v>
      </c>
    </row>
  </sheetData>
  <sortState xmlns:xlrd2="http://schemas.microsoft.com/office/spreadsheetml/2017/richdata2" ref="G25:G43">
    <sortCondition ref="G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0881-4EE0-4F09-B080-77458BF1CD19}">
  <dimension ref="A1:B16"/>
  <sheetViews>
    <sheetView workbookViewId="0">
      <selection activeCell="J12" sqref="J12"/>
    </sheetView>
  </sheetViews>
  <sheetFormatPr defaultRowHeight="15" x14ac:dyDescent="0.25"/>
  <sheetData>
    <row r="1" spans="1:2" x14ac:dyDescent="0.25">
      <c r="A1" s="8">
        <v>25</v>
      </c>
      <c r="B1" s="8"/>
    </row>
    <row r="2" spans="1:2" x14ac:dyDescent="0.25">
      <c r="A2" s="5"/>
      <c r="B2" s="5"/>
    </row>
    <row r="3" spans="1:2" x14ac:dyDescent="0.25">
      <c r="A3" s="5" t="s">
        <v>82</v>
      </c>
      <c r="B3" s="5">
        <v>41.263157894736842</v>
      </c>
    </row>
    <row r="4" spans="1:2" x14ac:dyDescent="0.25">
      <c r="A4" s="5" t="s">
        <v>56</v>
      </c>
      <c r="B4" s="5">
        <v>5.0133401603065444</v>
      </c>
    </row>
    <row r="5" spans="1:2" x14ac:dyDescent="0.25">
      <c r="A5" s="5" t="s">
        <v>83</v>
      </c>
      <c r="B5" s="5">
        <v>40</v>
      </c>
    </row>
    <row r="6" spans="1:2" x14ac:dyDescent="0.25">
      <c r="A6" s="5" t="s">
        <v>84</v>
      </c>
      <c r="B6" s="5" t="e">
        <v>#N/A</v>
      </c>
    </row>
    <row r="7" spans="1:2" x14ac:dyDescent="0.25">
      <c r="A7" s="5" t="s">
        <v>85</v>
      </c>
      <c r="B7" s="5">
        <v>21.852643128370229</v>
      </c>
    </row>
    <row r="8" spans="1:2" x14ac:dyDescent="0.25">
      <c r="A8" s="5" t="s">
        <v>86</v>
      </c>
      <c r="B8" s="5">
        <v>477.5380116959065</v>
      </c>
    </row>
    <row r="9" spans="1:2" x14ac:dyDescent="0.25">
      <c r="A9" s="5" t="s">
        <v>87</v>
      </c>
      <c r="B9" s="5">
        <v>-1.1865219784020891</v>
      </c>
    </row>
    <row r="10" spans="1:2" x14ac:dyDescent="0.25">
      <c r="A10" s="5" t="s">
        <v>88</v>
      </c>
      <c r="B10" s="5">
        <v>0.30444349942738219</v>
      </c>
    </row>
    <row r="11" spans="1:2" x14ac:dyDescent="0.25">
      <c r="A11" s="5" t="s">
        <v>89</v>
      </c>
      <c r="B11" s="5">
        <v>68</v>
      </c>
    </row>
    <row r="12" spans="1:2" x14ac:dyDescent="0.25">
      <c r="A12" s="5" t="s">
        <v>90</v>
      </c>
      <c r="B12" s="5">
        <v>12</v>
      </c>
    </row>
    <row r="13" spans="1:2" x14ac:dyDescent="0.25">
      <c r="A13" s="5" t="s">
        <v>91</v>
      </c>
      <c r="B13" s="5">
        <v>80</v>
      </c>
    </row>
    <row r="14" spans="1:2" x14ac:dyDescent="0.25">
      <c r="A14" s="5" t="s">
        <v>92</v>
      </c>
      <c r="B14" s="5">
        <v>784</v>
      </c>
    </row>
    <row r="15" spans="1:2" x14ac:dyDescent="0.25">
      <c r="A15" s="5" t="s">
        <v>93</v>
      </c>
      <c r="B15" s="5">
        <v>19</v>
      </c>
    </row>
    <row r="16" spans="1:2" ht="15.75" thickBot="1" x14ac:dyDescent="0.3">
      <c r="A16" s="6" t="s">
        <v>94</v>
      </c>
      <c r="B16" s="6">
        <v>10.532636838013557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8EFA-B8BF-43C2-845F-38A71F31F6ED}">
  <dimension ref="A1:K21"/>
  <sheetViews>
    <sheetView tabSelected="1" workbookViewId="0">
      <selection activeCell="D3" sqref="D3:D21"/>
    </sheetView>
  </sheetViews>
  <sheetFormatPr defaultRowHeight="15" x14ac:dyDescent="0.25"/>
  <cols>
    <col min="1" max="1" width="16.140625" customWidth="1"/>
    <col min="2" max="2" width="15.140625" customWidth="1"/>
    <col min="3" max="3" width="10" customWidth="1"/>
  </cols>
  <sheetData>
    <row r="1" spans="1:11" ht="30" x14ac:dyDescent="0.25">
      <c r="A1" s="1" t="s">
        <v>0</v>
      </c>
      <c r="B1" s="1" t="s">
        <v>1</v>
      </c>
      <c r="C1" s="4" t="s">
        <v>2</v>
      </c>
      <c r="D1" s="4" t="s">
        <v>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 s="2" t="s">
        <v>4</v>
      </c>
      <c r="B2" s="2" t="s">
        <v>5</v>
      </c>
      <c r="C2" s="3">
        <v>25</v>
      </c>
      <c r="D2" s="3">
        <v>1250000</v>
      </c>
      <c r="E2">
        <f>AVERAGE(C2:C21)</f>
        <v>40.450000000000003</v>
      </c>
      <c r="F2">
        <f>MEDIAN(C2:C21)</f>
        <v>37.5</v>
      </c>
      <c r="G2" t="e">
        <f>_xlfn.MODE.SNGL(C2:C21)</f>
        <v>#N/A</v>
      </c>
      <c r="H2">
        <f>MAX(C2:C21)-MIN(C2:C21)</f>
        <v>68</v>
      </c>
      <c r="I2">
        <f>_xlfn.VAR.S(C2:C21)</f>
        <v>465.62894736842111</v>
      </c>
      <c r="J2">
        <f>_xlfn.STDEV.S(C2:C21)</f>
        <v>21.578437092811452</v>
      </c>
      <c r="K2">
        <f>CORREL(C2:C21,D2:D21)</f>
        <v>-0.1977561066054708</v>
      </c>
    </row>
    <row r="3" spans="1:11" x14ac:dyDescent="0.25">
      <c r="A3" s="2" t="s">
        <v>6</v>
      </c>
      <c r="B3" s="2" t="s">
        <v>7</v>
      </c>
      <c r="C3" s="3">
        <v>80</v>
      </c>
      <c r="D3" s="3">
        <v>80000</v>
      </c>
    </row>
    <row r="4" spans="1:11" x14ac:dyDescent="0.25">
      <c r="A4" s="2" t="s">
        <v>8</v>
      </c>
      <c r="B4" s="2" t="s">
        <v>9</v>
      </c>
      <c r="C4" s="3">
        <v>60</v>
      </c>
      <c r="D4" s="3">
        <v>120000</v>
      </c>
    </row>
    <row r="5" spans="1:11" x14ac:dyDescent="0.25">
      <c r="A5" s="2" t="s">
        <v>10</v>
      </c>
      <c r="B5" s="2" t="s">
        <v>11</v>
      </c>
      <c r="C5" s="3">
        <v>30</v>
      </c>
      <c r="D5" s="3">
        <v>450000</v>
      </c>
    </row>
    <row r="6" spans="1:11" x14ac:dyDescent="0.25">
      <c r="A6" s="2" t="s">
        <v>12</v>
      </c>
      <c r="B6" s="2" t="s">
        <v>13</v>
      </c>
      <c r="C6" s="3">
        <v>15</v>
      </c>
      <c r="D6" s="3">
        <v>225000</v>
      </c>
    </row>
    <row r="7" spans="1:11" x14ac:dyDescent="0.25">
      <c r="A7" s="2" t="s">
        <v>14</v>
      </c>
      <c r="B7" s="2" t="s">
        <v>15</v>
      </c>
      <c r="C7" s="3">
        <v>40</v>
      </c>
      <c r="D7" s="3">
        <v>160000</v>
      </c>
    </row>
    <row r="8" spans="1:11" x14ac:dyDescent="0.25">
      <c r="A8" s="2" t="s">
        <v>16</v>
      </c>
      <c r="B8" s="2" t="s">
        <v>17</v>
      </c>
      <c r="C8" s="3">
        <v>22</v>
      </c>
      <c r="D8" s="3">
        <v>88000</v>
      </c>
    </row>
    <row r="9" spans="1:11" x14ac:dyDescent="0.25">
      <c r="A9" s="2" t="s">
        <v>18</v>
      </c>
      <c r="B9" s="2" t="s">
        <v>19</v>
      </c>
      <c r="C9" s="3">
        <v>35</v>
      </c>
      <c r="D9" s="3">
        <v>175000</v>
      </c>
    </row>
    <row r="10" spans="1:11" x14ac:dyDescent="0.25">
      <c r="A10" s="2" t="s">
        <v>20</v>
      </c>
      <c r="B10" s="2" t="s">
        <v>21</v>
      </c>
      <c r="C10" s="3">
        <v>50</v>
      </c>
      <c r="D10" s="3">
        <v>300000</v>
      </c>
    </row>
    <row r="11" spans="1:11" x14ac:dyDescent="0.25">
      <c r="A11" s="2" t="s">
        <v>22</v>
      </c>
      <c r="B11" s="2" t="s">
        <v>23</v>
      </c>
      <c r="C11" s="3">
        <v>75</v>
      </c>
      <c r="D11" s="3">
        <v>75000</v>
      </c>
    </row>
    <row r="12" spans="1:11" x14ac:dyDescent="0.25">
      <c r="A12" s="2" t="s">
        <v>24</v>
      </c>
      <c r="B12" s="2" t="s">
        <v>25</v>
      </c>
      <c r="C12" s="3">
        <v>65</v>
      </c>
      <c r="D12" s="3">
        <v>65000</v>
      </c>
    </row>
    <row r="13" spans="1:11" x14ac:dyDescent="0.25">
      <c r="A13" s="2" t="s">
        <v>26</v>
      </c>
      <c r="B13" s="2" t="s">
        <v>27</v>
      </c>
      <c r="C13" s="3">
        <v>18</v>
      </c>
      <c r="D13" s="3">
        <v>360000</v>
      </c>
    </row>
    <row r="14" spans="1:11" x14ac:dyDescent="0.25">
      <c r="A14" s="2" t="s">
        <v>28</v>
      </c>
      <c r="B14" s="2" t="s">
        <v>29</v>
      </c>
      <c r="C14" s="3">
        <v>55</v>
      </c>
      <c r="D14" s="3">
        <v>1100000</v>
      </c>
    </row>
    <row r="15" spans="1:11" x14ac:dyDescent="0.25">
      <c r="A15" s="2" t="s">
        <v>30</v>
      </c>
      <c r="B15" s="2" t="s">
        <v>31</v>
      </c>
      <c r="C15" s="3">
        <v>48</v>
      </c>
      <c r="D15" s="3">
        <v>144000</v>
      </c>
    </row>
    <row r="16" spans="1:11" x14ac:dyDescent="0.25">
      <c r="A16" s="2" t="s">
        <v>32</v>
      </c>
      <c r="B16" s="2" t="s">
        <v>33</v>
      </c>
      <c r="C16" s="3">
        <v>70</v>
      </c>
      <c r="D16" s="3">
        <v>210000</v>
      </c>
    </row>
    <row r="17" spans="1:4" x14ac:dyDescent="0.25">
      <c r="A17" s="2" t="s">
        <v>34</v>
      </c>
      <c r="B17" s="2" t="s">
        <v>35</v>
      </c>
      <c r="C17" s="3">
        <v>12</v>
      </c>
      <c r="D17" s="3">
        <v>480000</v>
      </c>
    </row>
    <row r="18" spans="1:4" x14ac:dyDescent="0.25">
      <c r="A18" s="2" t="s">
        <v>36</v>
      </c>
      <c r="B18" s="2" t="s">
        <v>37</v>
      </c>
      <c r="C18" s="3">
        <v>20</v>
      </c>
      <c r="D18" s="3">
        <v>200000</v>
      </c>
    </row>
    <row r="19" spans="1:4" x14ac:dyDescent="0.25">
      <c r="A19" s="2" t="s">
        <v>38</v>
      </c>
      <c r="B19" s="2" t="s">
        <v>39</v>
      </c>
      <c r="C19" s="3">
        <v>28</v>
      </c>
      <c r="D19" s="3">
        <v>280000</v>
      </c>
    </row>
    <row r="20" spans="1:4" x14ac:dyDescent="0.25">
      <c r="A20" s="2" t="s">
        <v>40</v>
      </c>
      <c r="B20" s="2" t="s">
        <v>41</v>
      </c>
      <c r="C20" s="3">
        <v>45</v>
      </c>
      <c r="D20" s="3">
        <v>450000</v>
      </c>
    </row>
    <row r="21" spans="1:4" x14ac:dyDescent="0.25">
      <c r="A21" s="2" t="s">
        <v>42</v>
      </c>
      <c r="B21" s="2" t="s">
        <v>43</v>
      </c>
      <c r="C21" s="3">
        <v>16</v>
      </c>
      <c r="D21" s="3">
        <v>96000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SHANMUKASAI T</dc:creator>
  <cp:lastModifiedBy>SHANMUKASAI T</cp:lastModifiedBy>
  <dcterms:created xsi:type="dcterms:W3CDTF">2026-05-26T16:05:33Z</dcterms:created>
  <dcterms:modified xsi:type="dcterms:W3CDTF">2026-05-26T16:53:24Z</dcterms:modified>
</cp:coreProperties>
</file>