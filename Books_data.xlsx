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A_ANALYSIS_EXCEL\"/>
    </mc:Choice>
  </mc:AlternateContent>
  <xr:revisionPtr revIDLastSave="0" documentId="13_ncr:1_{069E785C-FB3D-4664-894B-DBEC859B66DC}" xr6:coauthVersionLast="47" xr6:coauthVersionMax="47" xr10:uidLastSave="{00000000-0000-0000-0000-000000000000}"/>
  <bookViews>
    <workbookView xWindow="-120" yWindow="-120" windowWidth="20730" windowHeight="11040" activeTab="2" xr2:uid="{C466B8F0-AE52-45A2-8C82-B9BC6BEE5F4E}"/>
  </bookViews>
  <sheets>
    <sheet name="Sheet2" sheetId="2" r:id="rId1"/>
    <sheet name="Sheet3" sheetId="3" r:id="rId2"/>
    <sheet name="Sheet1" sheetId="1" r:id="rId3"/>
  </sheets>
  <definedNames>
    <definedName name="_xlchart.v2.0" hidden="1">Sheet1!$D$1</definedName>
    <definedName name="_xlchart.v2.1" hidden="1">Sheet1!$D$2:$D$22</definedName>
    <definedName name="_xlchart.v2.2" hidden="1">Sheet1!$D$1</definedName>
    <definedName name="_xlchart.v2.3" hidden="1">Sheet1!$D$2:$D$22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<sst xmlns="http://schemas.openxmlformats.org/spreadsheetml/2006/main" count="97" uniqueCount="95">
  <si>
    <t>Book_ID</t>
  </si>
  <si>
    <t>Book_Name</t>
  </si>
  <si>
    <t>Copies_Issued</t>
  </si>
  <si>
    <t>Fine_Amount</t>
  </si>
  <si>
    <t>B001</t>
  </si>
  <si>
    <t>Python Basics</t>
  </si>
  <si>
    <t>B002</t>
  </si>
  <si>
    <t>Data Science</t>
  </si>
  <si>
    <t>B003</t>
  </si>
  <si>
    <t>AI Concepts</t>
  </si>
  <si>
    <t>B004</t>
  </si>
  <si>
    <t>Java Programming</t>
  </si>
  <si>
    <t>B005</t>
  </si>
  <si>
    <t>DBMS</t>
  </si>
  <si>
    <t>B006</t>
  </si>
  <si>
    <t>Operating Systems</t>
  </si>
  <si>
    <t>B007</t>
  </si>
  <si>
    <t>Networking</t>
  </si>
  <si>
    <t>B008</t>
  </si>
  <si>
    <t>Machine Learning</t>
  </si>
  <si>
    <t>B009</t>
  </si>
  <si>
    <t>Cloud Computing</t>
  </si>
  <si>
    <t>B010</t>
  </si>
  <si>
    <t>Cyber Security</t>
  </si>
  <si>
    <t>B011</t>
  </si>
  <si>
    <t>Algorithms</t>
  </si>
  <si>
    <t>B012</t>
  </si>
  <si>
    <t>C Programming</t>
  </si>
  <si>
    <t>B013</t>
  </si>
  <si>
    <t>Software Engg</t>
  </si>
  <si>
    <t>B014</t>
  </si>
  <si>
    <t>HTML &amp; CSS</t>
  </si>
  <si>
    <t>B015</t>
  </si>
  <si>
    <t>JavaScript</t>
  </si>
  <si>
    <t>B016</t>
  </si>
  <si>
    <t>React Basics</t>
  </si>
  <si>
    <t>B017</t>
  </si>
  <si>
    <t>Angular Guide</t>
  </si>
  <si>
    <t>B018</t>
  </si>
  <si>
    <t>Big Data</t>
  </si>
  <si>
    <t>B019</t>
  </si>
  <si>
    <t>IoT Fundamentals</t>
  </si>
  <si>
    <t>B020</t>
  </si>
  <si>
    <t>DevOps Handbook</t>
  </si>
  <si>
    <t>MEAN</t>
  </si>
  <si>
    <t>MEDIAN</t>
  </si>
  <si>
    <t>MODE</t>
  </si>
  <si>
    <t>RANGE</t>
  </si>
  <si>
    <t>VARIANCE</t>
  </si>
  <si>
    <t>STDEV</t>
  </si>
  <si>
    <t>CORREL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</si>
  <si>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</si>
  <si>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</si>
  <si>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</si>
  <si>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</si>
  <si>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</si>
  <si>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</si>
  <si>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</si>
  <si>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</si>
  <si>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</si>
  <si>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</si>
  <si>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</si>
  <si>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</si>
  <si>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</si>
  <si>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</si>
  <si>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</si>
  <si>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</si>
  <si>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</si>
  <si>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</si>
  <si>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</si>
  <si>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</si>
  <si>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</si>
  <si>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</si>
  <si>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</si>
  <si>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</si>
  <si>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</si>
  <si>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</si>
  <si>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12</t>
  </si>
  <si>
    <t>Residuals</t>
  </si>
  <si>
    <t>Standard Residuals</t>
  </si>
  <si>
    <t>PROBABILITY OUTPUT</t>
  </si>
  <si>
    <t>Percentile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</si>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</sst>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120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80</c:v>
                </c:pt>
                <c:pt idx="1">
                  <c:v>150</c:v>
                </c:pt>
                <c:pt idx="2">
                  <c:v>100</c:v>
                </c:pt>
                <c:pt idx="3">
                  <c:v>90</c:v>
                </c:pt>
                <c:pt idx="4">
                  <c:v>110</c:v>
                </c:pt>
                <c:pt idx="5">
                  <c:v>70</c:v>
                </c:pt>
                <c:pt idx="6">
                  <c:v>130</c:v>
                </c:pt>
                <c:pt idx="7">
                  <c:v>60</c:v>
                </c:pt>
                <c:pt idx="8">
                  <c:v>140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120</c:v>
                </c:pt>
                <c:pt idx="13">
                  <c:v>110</c:v>
                </c:pt>
                <c:pt idx="14">
                  <c:v>70</c:v>
                </c:pt>
                <c:pt idx="15">
                  <c:v>60</c:v>
                </c:pt>
                <c:pt idx="16">
                  <c:v>90</c:v>
                </c:pt>
                <c:pt idx="17">
                  <c:v>50</c:v>
                </c:pt>
                <c:pt idx="18">
                  <c:v>80</c:v>
                </c:pt>
              </c:numCache>
            </c:numRef>
          </c:xVal>
          <c:yVal>
            <c:numRef>
              <c:f>Sheet2!$C$25:$C$43</c:f>
              <c:numCache>
                <c:formatCode>General</c:formatCode>
                <c:ptCount val="19"/>
                <c:pt idx="0">
                  <c:v>8.8817841970012523E-16</c:v>
                </c:pt>
                <c:pt idx="1">
                  <c:v>1.7763568394002505E-15</c:v>
                </c:pt>
                <c:pt idx="2">
                  <c:v>0</c:v>
                </c:pt>
                <c:pt idx="3">
                  <c:v>0</c:v>
                </c:pt>
                <c:pt idx="4">
                  <c:v>1.7763568394002505E-15</c:v>
                </c:pt>
                <c:pt idx="5">
                  <c:v>8.8817841970012523E-16</c:v>
                </c:pt>
                <c:pt idx="6">
                  <c:v>1.7763568394002505E-15</c:v>
                </c:pt>
                <c:pt idx="7">
                  <c:v>8.8817841970012523E-16</c:v>
                </c:pt>
                <c:pt idx="8">
                  <c:v>1.7763568394002505E-15</c:v>
                </c:pt>
                <c:pt idx="9">
                  <c:v>0</c:v>
                </c:pt>
                <c:pt idx="10">
                  <c:v>0</c:v>
                </c:pt>
                <c:pt idx="11">
                  <c:v>8.8817841970012523E-16</c:v>
                </c:pt>
                <c:pt idx="12">
                  <c:v>1.7763568394002505E-15</c:v>
                </c:pt>
                <c:pt idx="13">
                  <c:v>1.7763568394002505E-15</c:v>
                </c:pt>
                <c:pt idx="14">
                  <c:v>8.8817841970012523E-16</c:v>
                </c:pt>
                <c:pt idx="15">
                  <c:v>8.8817841970012523E-16</c:v>
                </c:pt>
                <c:pt idx="16">
                  <c:v>0</c:v>
                </c:pt>
                <c:pt idx="17">
                  <c:v>0</c:v>
                </c:pt>
                <c:pt idx="18">
                  <c:v>8.8817841970012523E-16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39-4CA7-B0CC-5ECA67C0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94320"/>
        <c:axId val="1735388080"/>
      </c:scatterChart>
      <c:valAx>
        <c:axId val="173539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5388080"/>
        <c:crosses val="autoZero"/>
        <c:crossBetween val="midCat"/>
      </c:valAx>
      <c:valAx>
        <c:axId val="173538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53943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120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80</c:v>
                </c:pt>
                <c:pt idx="1">
                  <c:v>150</c:v>
                </c:pt>
                <c:pt idx="2">
                  <c:v>100</c:v>
                </c:pt>
                <c:pt idx="3">
                  <c:v>90</c:v>
                </c:pt>
                <c:pt idx="4">
                  <c:v>110</c:v>
                </c:pt>
                <c:pt idx="5">
                  <c:v>70</c:v>
                </c:pt>
                <c:pt idx="6">
                  <c:v>130</c:v>
                </c:pt>
                <c:pt idx="7">
                  <c:v>60</c:v>
                </c:pt>
                <c:pt idx="8">
                  <c:v>140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120</c:v>
                </c:pt>
                <c:pt idx="13">
                  <c:v>110</c:v>
                </c:pt>
                <c:pt idx="14">
                  <c:v>70</c:v>
                </c:pt>
                <c:pt idx="15">
                  <c:v>60</c:v>
                </c:pt>
                <c:pt idx="16">
                  <c:v>90</c:v>
                </c:pt>
                <c:pt idx="17">
                  <c:v>50</c:v>
                </c:pt>
                <c:pt idx="18">
                  <c:v>80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8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7</c:v>
                </c:pt>
                <c:pt idx="6">
                  <c:v>13</c:v>
                </c:pt>
                <c:pt idx="7">
                  <c:v>6</c:v>
                </c:pt>
                <c:pt idx="8">
                  <c:v>14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12</c:v>
                </c:pt>
                <c:pt idx="13">
                  <c:v>11</c:v>
                </c:pt>
                <c:pt idx="14">
                  <c:v>7</c:v>
                </c:pt>
                <c:pt idx="15">
                  <c:v>6</c:v>
                </c:pt>
                <c:pt idx="16">
                  <c:v>9</c:v>
                </c:pt>
                <c:pt idx="17">
                  <c:v>5</c:v>
                </c:pt>
                <c:pt idx="18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B0-450C-BBFD-E22F0D7E0322}"/>
            </c:ext>
          </c:extLst>
        </c:ser>
        <c:ser>
          <c:idx val="1"/>
          <c:order val="1"/>
          <c:tx>
            <c:v>Predicted 12</c:v>
          </c:tx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80</c:v>
                </c:pt>
                <c:pt idx="1">
                  <c:v>150</c:v>
                </c:pt>
                <c:pt idx="2">
                  <c:v>100</c:v>
                </c:pt>
                <c:pt idx="3">
                  <c:v>90</c:v>
                </c:pt>
                <c:pt idx="4">
                  <c:v>110</c:v>
                </c:pt>
                <c:pt idx="5">
                  <c:v>70</c:v>
                </c:pt>
                <c:pt idx="6">
                  <c:v>130</c:v>
                </c:pt>
                <c:pt idx="7">
                  <c:v>60</c:v>
                </c:pt>
                <c:pt idx="8">
                  <c:v>140</c:v>
                </c:pt>
                <c:pt idx="9">
                  <c:v>100</c:v>
                </c:pt>
                <c:pt idx="10">
                  <c:v>90</c:v>
                </c:pt>
                <c:pt idx="11">
                  <c:v>80</c:v>
                </c:pt>
                <c:pt idx="12">
                  <c:v>120</c:v>
                </c:pt>
                <c:pt idx="13">
                  <c:v>110</c:v>
                </c:pt>
                <c:pt idx="14">
                  <c:v>70</c:v>
                </c:pt>
                <c:pt idx="15">
                  <c:v>60</c:v>
                </c:pt>
                <c:pt idx="16">
                  <c:v>90</c:v>
                </c:pt>
                <c:pt idx="17">
                  <c:v>50</c:v>
                </c:pt>
                <c:pt idx="18">
                  <c:v>80</c:v>
                </c:pt>
              </c:numCache>
            </c:numRef>
          </c:xVal>
          <c:yVal>
            <c:numRef>
              <c:f>Sheet2!$B$25:$B$43</c:f>
              <c:numCache>
                <c:formatCode>General</c:formatCode>
                <c:ptCount val="19"/>
                <c:pt idx="0">
                  <c:v>7.9999999999999991</c:v>
                </c:pt>
                <c:pt idx="1">
                  <c:v>14.999999999999998</c:v>
                </c:pt>
                <c:pt idx="2">
                  <c:v>10</c:v>
                </c:pt>
                <c:pt idx="3">
                  <c:v>9</c:v>
                </c:pt>
                <c:pt idx="4">
                  <c:v>10.999999999999998</c:v>
                </c:pt>
                <c:pt idx="5">
                  <c:v>6.9999999999999991</c:v>
                </c:pt>
                <c:pt idx="6">
                  <c:v>12.999999999999998</c:v>
                </c:pt>
                <c:pt idx="7">
                  <c:v>5.9999999999999991</c:v>
                </c:pt>
                <c:pt idx="8">
                  <c:v>13.999999999999998</c:v>
                </c:pt>
                <c:pt idx="9">
                  <c:v>10</c:v>
                </c:pt>
                <c:pt idx="10">
                  <c:v>9</c:v>
                </c:pt>
                <c:pt idx="11">
                  <c:v>7.9999999999999991</c:v>
                </c:pt>
                <c:pt idx="12">
                  <c:v>11.999999999999998</c:v>
                </c:pt>
                <c:pt idx="13">
                  <c:v>10.999999999999998</c:v>
                </c:pt>
                <c:pt idx="14">
                  <c:v>6.9999999999999991</c:v>
                </c:pt>
                <c:pt idx="15">
                  <c:v>5.9999999999999991</c:v>
                </c:pt>
                <c:pt idx="16">
                  <c:v>9</c:v>
                </c:pt>
                <c:pt idx="17">
                  <c:v>5</c:v>
                </c:pt>
                <c:pt idx="18">
                  <c:v>7.9999999999999991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B0-450C-BBFD-E22F0D7E0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907328"/>
        <c:axId val="1750906848"/>
      </c:scatterChart>
      <c:valAx>
        <c:axId val="175090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0906848"/>
        <c:crosses val="autoZero"/>
        <c:crossBetween val="midCat"/>
      </c:valAx>
      <c:valAx>
        <c:axId val="1750906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0907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Sheet2!$F$25:$F$43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Sheet2!$G$25:$G$43</c:f>
              <c:numCache>
                <c:formatCode>General</c:formatCode>
                <c:ptCount val="19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AA-417B-ABA7-C76F3E599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491040"/>
        <c:axId val="1554830080"/>
      </c:scatterChart>
      <c:valAx>
        <c:axId val="140549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4830080"/>
        <c:crosses val="autoZero"/>
        <c:crossBetween val="midCat"/>
      </c:valAx>
      <c:valAx>
        <c:axId val="1554830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54910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Copies_Issued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Sheet1!$C$2:$C$21</c:f>
              <c:numCache>
                <c:formatCode>General</c:formatCode>
                <c:ptCount val="20"/>
                <c:pt idx="0">
                  <c:v>12</c:v>
                </c:pt>
                <c:pt idx="1">
                  <c:v>8</c:v>
                </c:pt>
                <c:pt idx="2">
                  <c:v>15</c:v>
                </c:pt>
                <c:pt idx="3">
                  <c:v>10</c:v>
                </c:pt>
                <c:pt idx="4">
                  <c:v>9</c:v>
                </c:pt>
                <c:pt idx="5">
                  <c:v>11</c:v>
                </c:pt>
                <c:pt idx="6">
                  <c:v>7</c:v>
                </c:pt>
                <c:pt idx="7">
                  <c:v>13</c:v>
                </c:pt>
                <c:pt idx="8">
                  <c:v>6</c:v>
                </c:pt>
                <c:pt idx="9">
                  <c:v>14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12</c:v>
                </c:pt>
                <c:pt idx="14">
                  <c:v>11</c:v>
                </c:pt>
                <c:pt idx="15">
                  <c:v>7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4-43A2-B9A8-BC502EE4912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Fine_Amount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Sheet1!$D$2:$D$21</c:f>
              <c:numCache>
                <c:formatCode>General</c:formatCode>
                <c:ptCount val="20"/>
                <c:pt idx="0">
                  <c:v>120</c:v>
                </c:pt>
                <c:pt idx="1">
                  <c:v>80</c:v>
                </c:pt>
                <c:pt idx="2">
                  <c:v>150</c:v>
                </c:pt>
                <c:pt idx="3">
                  <c:v>100</c:v>
                </c:pt>
                <c:pt idx="4">
                  <c:v>90</c:v>
                </c:pt>
                <c:pt idx="5">
                  <c:v>110</c:v>
                </c:pt>
                <c:pt idx="6">
                  <c:v>70</c:v>
                </c:pt>
                <c:pt idx="7">
                  <c:v>130</c:v>
                </c:pt>
                <c:pt idx="8">
                  <c:v>60</c:v>
                </c:pt>
                <c:pt idx="9">
                  <c:v>140</c:v>
                </c:pt>
                <c:pt idx="10">
                  <c:v>100</c:v>
                </c:pt>
                <c:pt idx="11">
                  <c:v>90</c:v>
                </c:pt>
                <c:pt idx="12">
                  <c:v>80</c:v>
                </c:pt>
                <c:pt idx="13">
                  <c:v>120</c:v>
                </c:pt>
                <c:pt idx="14">
                  <c:v>110</c:v>
                </c:pt>
                <c:pt idx="15">
                  <c:v>70</c:v>
                </c:pt>
                <c:pt idx="16">
                  <c:v>60</c:v>
                </c:pt>
                <c:pt idx="17">
                  <c:v>90</c:v>
                </c:pt>
                <c:pt idx="18">
                  <c:v>50</c:v>
                </c:pt>
                <c:pt idx="1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4-43A2-B9A8-BC502EE49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52437088"/>
        <c:axId val="1552437568"/>
      </c:barChart>
      <c:catAx>
        <c:axId val="155243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37568"/>
        <c:crosses val="autoZero"/>
        <c:auto val="1"/>
        <c:lblAlgn val="ctr"/>
        <c:lblOffset val="100"/>
        <c:noMultiLvlLbl val="0"/>
      </c:catAx>
      <c:valAx>
        <c:axId val="155243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43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_xlchart.v2.3</cx:f>
      </cx:numDim>
    </cx:data>
  </cx:chartData>
  <cx:chart>
    <cx:title pos="t" align="ctr" overlay="0"/>
    <cx:plotArea>
      <cx:plotAreaRegion>
        <cx:series layoutId="funnel" uniqueId="{7B1DC3DE-4F6C-4F34-A87A-4AB0B2A717B9}">
          <cx:tx>
            <cx:txData>
              <cx:f>_xlchart.v2.2</cx:f>
              <cx:v>Fine_Amount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F1244-B8DF-6DB0-9135-2545E96AF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4</xdr:row>
      <xdr:rowOff>133350</xdr:rowOff>
    </xdr:from>
    <xdr:to>
      <xdr:col>22</xdr:col>
      <xdr:colOff>28575</xdr:colOff>
      <xdr:row>14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29B84-77AF-9BC4-63CB-4A526BFEE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485775</xdr:colOff>
      <xdr:row>14</xdr:row>
      <xdr:rowOff>133350</xdr:rowOff>
    </xdr:from>
    <xdr:to>
      <xdr:col>15</xdr:col>
      <xdr:colOff>485775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FF417E-4151-6CC9-C82F-F5B567995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157162</xdr:rowOff>
    </xdr:from>
    <xdr:to>
      <xdr:col>11</xdr:col>
      <xdr:colOff>333375</xdr:colOff>
      <xdr:row>9</xdr:row>
      <xdr:rowOff>233362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0F8F7-8CF2-806D-714A-D2611D902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142875</xdr:colOff>
      <xdr:row>9</xdr:row>
      <xdr:rowOff>319087</xdr:rowOff>
    </xdr:from>
    <xdr:to>
      <xdr:col>11</xdr:col>
      <xdr:colOff>447675</xdr:colOff>
      <xdr:row>16</xdr:row>
      <xdr:rowOff>14287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6CEDF66-A1DC-026C-2341-B850228F58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7650" y="3367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502B-46E2-4161-B705-151B0ABEE001}">
  <dimension ref="A1:I43"/>
  <sheetViews>
    <sheetView workbookViewId="0">
      <selection sqref="A1:I43"/>
    </sheetView>
  </sheetViews>
  <sheetFormatPr defaultRowHeight="15" x14ac:dyDescent="0.25"/>
  <sheetData>
    <row r="1" spans="1:9" x14ac:dyDescent="0.25">
      <c r="A1" t="s">
        <v>51</v>
      </c>
    </row>
    <row r="2" spans="1:9" ht="15.75" thickBot="1" x14ac:dyDescent="0.3"/>
    <row r="3" spans="1:9" x14ac:dyDescent="0.25">
      <c r="A3" s="8" t="s">
        <v>52</v>
      </c>
      <c r="B3" s="8"/>
    </row>
    <row r="4" spans="1:9" x14ac:dyDescent="0.25">
      <c r="A4" s="5" t="s">
        <v>53</v>
      </c>
      <c r="B4" s="5">
        <v>1</v>
      </c>
    </row>
    <row r="5" spans="1:9" x14ac:dyDescent="0.25">
      <c r="A5" s="5" t="s">
        <v>54</v>
      </c>
      <c r="B5" s="5">
        <v>1</v>
      </c>
    </row>
    <row r="6" spans="1:9" x14ac:dyDescent="0.25">
      <c r="A6" s="5" t="s">
        <v>55</v>
      </c>
      <c r="B6" s="5">
        <v>1</v>
      </c>
    </row>
    <row r="7" spans="1:9" x14ac:dyDescent="0.25">
      <c r="A7" s="5" t="s">
        <v>56</v>
      </c>
      <c r="B7" s="5">
        <v>3.3243704939252595E-16</v>
      </c>
    </row>
    <row r="8" spans="1:9" ht="15.75" thickBot="1" x14ac:dyDescent="0.3">
      <c r="A8" s="6" t="s">
        <v>57</v>
      </c>
      <c r="B8" s="6">
        <v>19</v>
      </c>
    </row>
    <row r="10" spans="1:9" ht="15.75" thickBot="1" x14ac:dyDescent="0.3">
      <c r="A10" t="s">
        <v>58</v>
      </c>
    </row>
    <row r="11" spans="1:9" x14ac:dyDescent="0.25">
      <c r="A11" s="7"/>
      <c r="B11" s="7" t="s">
        <v>63</v>
      </c>
      <c r="C11" s="7" t="s">
        <v>64</v>
      </c>
      <c r="D11" s="7" t="s">
        <v>65</v>
      </c>
      <c r="E11" s="7" t="s">
        <v>66</v>
      </c>
      <c r="F11" s="7" t="s">
        <v>67</v>
      </c>
    </row>
    <row r="12" spans="1:9" x14ac:dyDescent="0.25">
      <c r="A12" s="5" t="s">
        <v>59</v>
      </c>
      <c r="B12" s="5">
        <v>1</v>
      </c>
      <c r="C12" s="5">
        <v>138.42105263157896</v>
      </c>
      <c r="D12" s="5">
        <v>138.42105263157896</v>
      </c>
      <c r="E12" s="5">
        <v>1.252516078367866E+33</v>
      </c>
      <c r="F12" s="5">
        <v>2.558528657953343E-272</v>
      </c>
    </row>
    <row r="13" spans="1:9" x14ac:dyDescent="0.25">
      <c r="A13" s="5" t="s">
        <v>60</v>
      </c>
      <c r="B13" s="5">
        <v>17</v>
      </c>
      <c r="C13" s="5">
        <v>1.8787446607497486E-30</v>
      </c>
      <c r="D13" s="5">
        <v>1.1051439180880875E-31</v>
      </c>
      <c r="E13" s="5"/>
      <c r="F13" s="5"/>
    </row>
    <row r="14" spans="1:9" ht="15.75" thickBot="1" x14ac:dyDescent="0.3">
      <c r="A14" s="6" t="s">
        <v>61</v>
      </c>
      <c r="B14" s="6">
        <v>18</v>
      </c>
      <c r="C14" s="6">
        <v>138.42105263157896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68</v>
      </c>
      <c r="C16" s="7" t="s">
        <v>56</v>
      </c>
      <c r="D16" s="7" t="s">
        <v>69</v>
      </c>
      <c r="E16" s="7" t="s">
        <v>70</v>
      </c>
      <c r="F16" s="7" t="s">
        <v>71</v>
      </c>
      <c r="G16" s="7" t="s">
        <v>72</v>
      </c>
      <c r="H16" s="7" t="s">
        <v>73</v>
      </c>
      <c r="I16" s="7" t="s">
        <v>74</v>
      </c>
    </row>
    <row r="17" spans="1:9" x14ac:dyDescent="0.25">
      <c r="A17" s="5" t="s">
        <v>62</v>
      </c>
      <c r="B17" s="5">
        <v>0</v>
      </c>
      <c r="C17" s="5">
        <v>2.7548021783932463E-16</v>
      </c>
      <c r="D17" s="5">
        <v>0</v>
      </c>
      <c r="E17" s="5">
        <v>1</v>
      </c>
      <c r="F17" s="5">
        <v>-5.812124549823227E-16</v>
      </c>
      <c r="G17" s="5">
        <v>5.812124549823227E-16</v>
      </c>
      <c r="H17" s="5">
        <v>-5.812124549823227E-16</v>
      </c>
      <c r="I17" s="5">
        <v>5.812124549823227E-16</v>
      </c>
    </row>
    <row r="18" spans="1:9" ht="15.75" thickBot="1" x14ac:dyDescent="0.3">
      <c r="A18" s="6">
        <v>120</v>
      </c>
      <c r="B18" s="6">
        <v>9.9999999999999992E-2</v>
      </c>
      <c r="C18" s="6">
        <v>2.8255847972169848E-18</v>
      </c>
      <c r="D18" s="6">
        <v>3.5390903893060796E+16</v>
      </c>
      <c r="E18" s="6">
        <v>2.558528657953343E-272</v>
      </c>
      <c r="F18" s="6">
        <v>9.9999999999999992E-2</v>
      </c>
      <c r="G18" s="6">
        <v>9.9999999999999992E-2</v>
      </c>
      <c r="H18" s="6">
        <v>9.9999999999999992E-2</v>
      </c>
      <c r="I18" s="6">
        <v>9.9999999999999992E-2</v>
      </c>
    </row>
    <row r="22" spans="1:9" x14ac:dyDescent="0.25">
      <c r="A22" t="s">
        <v>75</v>
      </c>
      <c r="F22" t="s">
        <v>80</v>
      </c>
    </row>
    <row r="23" spans="1:9" ht="15.75" thickBot="1" x14ac:dyDescent="0.3"/>
    <row r="24" spans="1:9" x14ac:dyDescent="0.25">
      <c r="A24" s="7" t="s">
        <v>76</v>
      </c>
      <c r="B24" s="7" t="s">
        <v>77</v>
      </c>
      <c r="C24" s="7" t="s">
        <v>78</v>
      </c>
      <c r="D24" s="7" t="s">
        <v>79</v>
      </c>
      <c r="F24" s="7" t="s">
        <v>81</v>
      </c>
      <c r="G24" s="7">
        <v>12</v>
      </c>
    </row>
    <row r="25" spans="1:9" x14ac:dyDescent="0.25">
      <c r="A25" s="5">
        <v>1</v>
      </c>
      <c r="B25" s="5">
        <v>7.9999999999999991</v>
      </c>
      <c r="C25" s="5">
        <v>8.8817841970012523E-16</v>
      </c>
      <c r="D25" s="5">
        <v>0.76200076200114308</v>
      </c>
      <c r="F25" s="5">
        <v>2.6315789473684212</v>
      </c>
      <c r="G25" s="5">
        <v>5</v>
      </c>
    </row>
    <row r="26" spans="1:9" x14ac:dyDescent="0.25">
      <c r="A26" s="5">
        <v>2</v>
      </c>
      <c r="B26" s="5">
        <v>14.999999999999998</v>
      </c>
      <c r="C26" s="5">
        <v>1.7763568394002505E-15</v>
      </c>
      <c r="D26" s="5">
        <v>1.5240015240022862</v>
      </c>
      <c r="F26" s="5">
        <v>7.8947368421052637</v>
      </c>
      <c r="G26" s="5">
        <v>6</v>
      </c>
    </row>
    <row r="27" spans="1:9" x14ac:dyDescent="0.25">
      <c r="A27" s="5">
        <v>3</v>
      </c>
      <c r="B27" s="5">
        <v>10</v>
      </c>
      <c r="C27" s="5">
        <v>0</v>
      </c>
      <c r="D27" s="5">
        <v>0</v>
      </c>
      <c r="F27" s="5">
        <v>13.157894736842106</v>
      </c>
      <c r="G27" s="5">
        <v>6</v>
      </c>
    </row>
    <row r="28" spans="1:9" x14ac:dyDescent="0.25">
      <c r="A28" s="5">
        <v>4</v>
      </c>
      <c r="B28" s="5">
        <v>9</v>
      </c>
      <c r="C28" s="5">
        <v>0</v>
      </c>
      <c r="D28" s="5">
        <v>0</v>
      </c>
      <c r="F28" s="5">
        <v>18.421052631578949</v>
      </c>
      <c r="G28" s="5">
        <v>7</v>
      </c>
    </row>
    <row r="29" spans="1:9" x14ac:dyDescent="0.25">
      <c r="A29" s="5">
        <v>5</v>
      </c>
      <c r="B29" s="5">
        <v>10.999999999999998</v>
      </c>
      <c r="C29" s="5">
        <v>1.7763568394002505E-15</v>
      </c>
      <c r="D29" s="5">
        <v>1.5240015240022862</v>
      </c>
      <c r="F29" s="5">
        <v>23.684210526315791</v>
      </c>
      <c r="G29" s="5">
        <v>7</v>
      </c>
    </row>
    <row r="30" spans="1:9" x14ac:dyDescent="0.25">
      <c r="A30" s="5">
        <v>6</v>
      </c>
      <c r="B30" s="5">
        <v>6.9999999999999991</v>
      </c>
      <c r="C30" s="5">
        <v>8.8817841970012523E-16</v>
      </c>
      <c r="D30" s="5">
        <v>0.76200076200114308</v>
      </c>
      <c r="F30" s="5">
        <v>28.947368421052634</v>
      </c>
      <c r="G30" s="5">
        <v>8</v>
      </c>
    </row>
    <row r="31" spans="1:9" x14ac:dyDescent="0.25">
      <c r="A31" s="5">
        <v>7</v>
      </c>
      <c r="B31" s="5">
        <v>12.999999999999998</v>
      </c>
      <c r="C31" s="5">
        <v>1.7763568394002505E-15</v>
      </c>
      <c r="D31" s="5">
        <v>1.5240015240022862</v>
      </c>
      <c r="F31" s="5">
        <v>34.21052631578948</v>
      </c>
      <c r="G31" s="5">
        <v>8</v>
      </c>
    </row>
    <row r="32" spans="1:9" x14ac:dyDescent="0.25">
      <c r="A32" s="5">
        <v>8</v>
      </c>
      <c r="B32" s="5">
        <v>5.9999999999999991</v>
      </c>
      <c r="C32" s="5">
        <v>8.8817841970012523E-16</v>
      </c>
      <c r="D32" s="5">
        <v>0.76200076200114308</v>
      </c>
      <c r="F32" s="5">
        <v>39.473684210526315</v>
      </c>
      <c r="G32" s="5">
        <v>8</v>
      </c>
    </row>
    <row r="33" spans="1:7" x14ac:dyDescent="0.25">
      <c r="A33" s="5">
        <v>9</v>
      </c>
      <c r="B33" s="5">
        <v>13.999999999999998</v>
      </c>
      <c r="C33" s="5">
        <v>1.7763568394002505E-15</v>
      </c>
      <c r="D33" s="5">
        <v>1.5240015240022862</v>
      </c>
      <c r="F33" s="5">
        <v>44.736842105263165</v>
      </c>
      <c r="G33" s="5">
        <v>9</v>
      </c>
    </row>
    <row r="34" spans="1:7" x14ac:dyDescent="0.25">
      <c r="A34" s="5">
        <v>10</v>
      </c>
      <c r="B34" s="5">
        <v>10</v>
      </c>
      <c r="C34" s="5">
        <v>0</v>
      </c>
      <c r="D34" s="5">
        <v>0</v>
      </c>
      <c r="F34" s="5">
        <v>50</v>
      </c>
      <c r="G34" s="5">
        <v>9</v>
      </c>
    </row>
    <row r="35" spans="1:7" x14ac:dyDescent="0.25">
      <c r="A35" s="5">
        <v>11</v>
      </c>
      <c r="B35" s="5">
        <v>9</v>
      </c>
      <c r="C35" s="5">
        <v>0</v>
      </c>
      <c r="D35" s="5">
        <v>0</v>
      </c>
      <c r="F35" s="5">
        <v>55.26315789473685</v>
      </c>
      <c r="G35" s="5">
        <v>9</v>
      </c>
    </row>
    <row r="36" spans="1:7" x14ac:dyDescent="0.25">
      <c r="A36" s="5">
        <v>12</v>
      </c>
      <c r="B36" s="5">
        <v>7.9999999999999991</v>
      </c>
      <c r="C36" s="5">
        <v>8.8817841970012523E-16</v>
      </c>
      <c r="D36" s="5">
        <v>0.76200076200114308</v>
      </c>
      <c r="F36" s="5">
        <v>60.526315789473685</v>
      </c>
      <c r="G36" s="5">
        <v>10</v>
      </c>
    </row>
    <row r="37" spans="1:7" x14ac:dyDescent="0.25">
      <c r="A37" s="5">
        <v>13</v>
      </c>
      <c r="B37" s="5">
        <v>11.999999999999998</v>
      </c>
      <c r="C37" s="5">
        <v>1.7763568394002505E-15</v>
      </c>
      <c r="D37" s="5">
        <v>1.5240015240022862</v>
      </c>
      <c r="F37" s="5">
        <v>65.789473684210535</v>
      </c>
      <c r="G37" s="5">
        <v>10</v>
      </c>
    </row>
    <row r="38" spans="1:7" x14ac:dyDescent="0.25">
      <c r="A38" s="5">
        <v>14</v>
      </c>
      <c r="B38" s="5">
        <v>10.999999999999998</v>
      </c>
      <c r="C38" s="5">
        <v>1.7763568394002505E-15</v>
      </c>
      <c r="D38" s="5">
        <v>1.5240015240022862</v>
      </c>
      <c r="F38" s="5">
        <v>71.052631578947384</v>
      </c>
      <c r="G38" s="5">
        <v>11</v>
      </c>
    </row>
    <row r="39" spans="1:7" x14ac:dyDescent="0.25">
      <c r="A39" s="5">
        <v>15</v>
      </c>
      <c r="B39" s="5">
        <v>6.9999999999999991</v>
      </c>
      <c r="C39" s="5">
        <v>8.8817841970012523E-16</v>
      </c>
      <c r="D39" s="5">
        <v>0.76200076200114308</v>
      </c>
      <c r="F39" s="5">
        <v>76.31578947368422</v>
      </c>
      <c r="G39" s="5">
        <v>11</v>
      </c>
    </row>
    <row r="40" spans="1:7" x14ac:dyDescent="0.25">
      <c r="A40" s="5">
        <v>16</v>
      </c>
      <c r="B40" s="5">
        <v>5.9999999999999991</v>
      </c>
      <c r="C40" s="5">
        <v>8.8817841970012523E-16</v>
      </c>
      <c r="D40" s="5">
        <v>0.76200076200114308</v>
      </c>
      <c r="F40" s="5">
        <v>81.578947368421055</v>
      </c>
      <c r="G40" s="5">
        <v>12</v>
      </c>
    </row>
    <row r="41" spans="1:7" x14ac:dyDescent="0.25">
      <c r="A41" s="5">
        <v>17</v>
      </c>
      <c r="B41" s="5">
        <v>9</v>
      </c>
      <c r="C41" s="5">
        <v>0</v>
      </c>
      <c r="D41" s="5">
        <v>0</v>
      </c>
      <c r="F41" s="5">
        <v>86.842105263157904</v>
      </c>
      <c r="G41" s="5">
        <v>13</v>
      </c>
    </row>
    <row r="42" spans="1:7" x14ac:dyDescent="0.25">
      <c r="A42" s="5">
        <v>18</v>
      </c>
      <c r="B42" s="5">
        <v>5</v>
      </c>
      <c r="C42" s="5">
        <v>0</v>
      </c>
      <c r="D42" s="5">
        <v>0</v>
      </c>
      <c r="F42" s="5">
        <v>92.105263157894754</v>
      </c>
      <c r="G42" s="5">
        <v>14</v>
      </c>
    </row>
    <row r="43" spans="1:7" ht="15.75" thickBot="1" x14ac:dyDescent="0.3">
      <c r="A43" s="6">
        <v>19</v>
      </c>
      <c r="B43" s="6">
        <v>7.9999999999999991</v>
      </c>
      <c r="C43" s="6">
        <v>8.8817841970012523E-16</v>
      </c>
      <c r="D43" s="6">
        <v>0.76200076200114308</v>
      </c>
      <c r="F43" s="6">
        <v>97.368421052631589</v>
      </c>
      <c r="G43" s="6">
        <v>15</v>
      </c>
    </row>
  </sheetData>
  <sortState xmlns:xlrd2="http://schemas.microsoft.com/office/spreadsheetml/2017/richdata2" ref="G25:G43">
    <sortCondition ref="G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CA7E-A049-4FAC-A9F2-AF6E22D80D3E}">
  <dimension ref="A1:B16"/>
  <sheetViews>
    <sheetView workbookViewId="0">
      <selection sqref="A1:B16"/>
    </sheetView>
  </sheetViews>
  <sheetFormatPr defaultRowHeight="15" x14ac:dyDescent="0.25"/>
  <sheetData>
    <row r="1" spans="1:2" x14ac:dyDescent="0.25">
      <c r="A1" s="8">
        <v>12</v>
      </c>
      <c r="B1" s="8"/>
    </row>
    <row r="2" spans="1:2" x14ac:dyDescent="0.25">
      <c r="A2" s="5"/>
      <c r="B2" s="5"/>
    </row>
    <row r="3" spans="1:2" x14ac:dyDescent="0.25">
      <c r="A3" s="5" t="s">
        <v>82</v>
      </c>
      <c r="B3" s="5">
        <v>9.3684210526315788</v>
      </c>
    </row>
    <row r="4" spans="1:2" x14ac:dyDescent="0.25">
      <c r="A4" s="5" t="s">
        <v>56</v>
      </c>
      <c r="B4" s="5">
        <v>0.63619173208662261</v>
      </c>
    </row>
    <row r="5" spans="1:2" x14ac:dyDescent="0.25">
      <c r="A5" s="5" t="s">
        <v>83</v>
      </c>
      <c r="B5" s="5">
        <v>9</v>
      </c>
    </row>
    <row r="6" spans="1:2" x14ac:dyDescent="0.25">
      <c r="A6" s="5" t="s">
        <v>84</v>
      </c>
      <c r="B6" s="5">
        <v>8</v>
      </c>
    </row>
    <row r="7" spans="1:2" x14ac:dyDescent="0.25">
      <c r="A7" s="5" t="s">
        <v>85</v>
      </c>
      <c r="B7" s="5">
        <v>2.7730954688816909</v>
      </c>
    </row>
    <row r="8" spans="1:2" x14ac:dyDescent="0.25">
      <c r="A8" s="5" t="s">
        <v>86</v>
      </c>
      <c r="B8" s="5">
        <v>7.6900584795321647</v>
      </c>
    </row>
    <row r="9" spans="1:2" x14ac:dyDescent="0.25">
      <c r="A9" s="5" t="s">
        <v>87</v>
      </c>
      <c r="B9" s="5">
        <v>-0.42690630705867205</v>
      </c>
    </row>
    <row r="10" spans="1:2" x14ac:dyDescent="0.25">
      <c r="A10" s="5" t="s">
        <v>88</v>
      </c>
      <c r="B10" s="5">
        <v>0.46312017117095028</v>
      </c>
    </row>
    <row r="11" spans="1:2" x14ac:dyDescent="0.25">
      <c r="A11" s="5" t="s">
        <v>89</v>
      </c>
      <c r="B11" s="5">
        <v>10</v>
      </c>
    </row>
    <row r="12" spans="1:2" x14ac:dyDescent="0.25">
      <c r="A12" s="5" t="s">
        <v>90</v>
      </c>
      <c r="B12" s="5">
        <v>5</v>
      </c>
    </row>
    <row r="13" spans="1:2" x14ac:dyDescent="0.25">
      <c r="A13" s="5" t="s">
        <v>91</v>
      </c>
      <c r="B13" s="5">
        <v>15</v>
      </c>
    </row>
    <row r="14" spans="1:2" x14ac:dyDescent="0.25">
      <c r="A14" s="5" t="s">
        <v>92</v>
      </c>
      <c r="B14" s="5">
        <v>178</v>
      </c>
    </row>
    <row r="15" spans="1:2" x14ac:dyDescent="0.25">
      <c r="A15" s="5" t="s">
        <v>93</v>
      </c>
      <c r="B15" s="5">
        <v>19</v>
      </c>
    </row>
    <row r="16" spans="1:2" ht="15.75" thickBot="1" x14ac:dyDescent="0.3">
      <c r="A16" s="6" t="s">
        <v>94</v>
      </c>
      <c r="B16" s="6">
        <v>1.3365892317599068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8829-00E1-4F25-BE15-0A4E8ECC0FE8}">
  <dimension ref="A1:K21"/>
  <sheetViews>
    <sheetView tabSelected="1" workbookViewId="0">
      <selection activeCell="D3" sqref="D3:D21"/>
    </sheetView>
  </sheetViews>
  <sheetFormatPr defaultRowHeight="15" x14ac:dyDescent="0.25"/>
  <cols>
    <col min="2" max="2" width="15.85546875" customWidth="1"/>
    <col min="3" max="3" width="15.28515625" customWidth="1"/>
    <col min="4" max="4" width="18.42578125" customWidth="1"/>
  </cols>
  <sheetData>
    <row r="1" spans="1:11" x14ac:dyDescent="0.25">
      <c r="A1" s="1" t="s">
        <v>0</v>
      </c>
      <c r="B1" s="1" t="s">
        <v>1</v>
      </c>
      <c r="C1" s="4" t="s">
        <v>2</v>
      </c>
      <c r="D1" s="4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 s="2" t="s">
        <v>4</v>
      </c>
      <c r="B2" s="2" t="s">
        <v>5</v>
      </c>
      <c r="C2" s="3">
        <v>12</v>
      </c>
      <c r="D2" s="3">
        <v>120</v>
      </c>
      <c r="E2">
        <f>AVERAGE(C2:C21)</f>
        <v>9.5</v>
      </c>
      <c r="F2">
        <f>MEDIAN(C2:C21)</f>
        <v>9</v>
      </c>
      <c r="G2">
        <f>_xlfn.MODE.SNGL(C2:C21)</f>
        <v>8</v>
      </c>
      <c r="H2">
        <f>MAX(C2:C21)-MIN(C2:C21)</f>
        <v>10</v>
      </c>
      <c r="I2">
        <f>_xlfn.VAR.S(C2:C21)</f>
        <v>7.6315789473684212</v>
      </c>
      <c r="J2">
        <f>_xlfn.STDEV.S(C2:C21)</f>
        <v>2.7625312572654126</v>
      </c>
      <c r="K2">
        <f>CORREL(C2:C21,D2:D21)</f>
        <v>1</v>
      </c>
    </row>
    <row r="3" spans="1:11" x14ac:dyDescent="0.25">
      <c r="A3" s="2" t="s">
        <v>6</v>
      </c>
      <c r="B3" s="2" t="s">
        <v>7</v>
      </c>
      <c r="C3" s="3">
        <v>8</v>
      </c>
      <c r="D3" s="3">
        <v>80</v>
      </c>
    </row>
    <row r="4" spans="1:11" ht="30" x14ac:dyDescent="0.25">
      <c r="A4" s="2" t="s">
        <v>8</v>
      </c>
      <c r="B4" s="2" t="s">
        <v>9</v>
      </c>
      <c r="C4" s="3">
        <v>15</v>
      </c>
      <c r="D4" s="3">
        <v>150</v>
      </c>
    </row>
    <row r="5" spans="1:11" ht="45" x14ac:dyDescent="0.25">
      <c r="A5" s="2" t="s">
        <v>10</v>
      </c>
      <c r="B5" s="2" t="s">
        <v>11</v>
      </c>
      <c r="C5" s="3">
        <v>10</v>
      </c>
      <c r="D5" s="3">
        <v>100</v>
      </c>
    </row>
    <row r="6" spans="1:11" x14ac:dyDescent="0.25">
      <c r="A6" s="2" t="s">
        <v>12</v>
      </c>
      <c r="B6" s="2" t="s">
        <v>13</v>
      </c>
      <c r="C6" s="3">
        <v>9</v>
      </c>
      <c r="D6" s="3">
        <v>90</v>
      </c>
    </row>
    <row r="7" spans="1:11" ht="45" x14ac:dyDescent="0.25">
      <c r="A7" s="2" t="s">
        <v>14</v>
      </c>
      <c r="B7" s="2" t="s">
        <v>15</v>
      </c>
      <c r="C7" s="3">
        <v>11</v>
      </c>
      <c r="D7" s="3">
        <v>110</v>
      </c>
    </row>
    <row r="8" spans="1:11" ht="30" x14ac:dyDescent="0.25">
      <c r="A8" s="2" t="s">
        <v>16</v>
      </c>
      <c r="B8" s="2" t="s">
        <v>17</v>
      </c>
      <c r="C8" s="3">
        <v>7</v>
      </c>
      <c r="D8" s="3">
        <v>70</v>
      </c>
    </row>
    <row r="9" spans="1:11" ht="30" x14ac:dyDescent="0.25">
      <c r="A9" s="2" t="s">
        <v>18</v>
      </c>
      <c r="B9" s="2" t="s">
        <v>19</v>
      </c>
      <c r="C9" s="3">
        <v>13</v>
      </c>
      <c r="D9" s="3">
        <v>130</v>
      </c>
    </row>
    <row r="10" spans="1:11" ht="45" x14ac:dyDescent="0.25">
      <c r="A10" s="2" t="s">
        <v>20</v>
      </c>
      <c r="B10" s="2" t="s">
        <v>21</v>
      </c>
      <c r="C10" s="3">
        <v>6</v>
      </c>
      <c r="D10" s="3">
        <v>60</v>
      </c>
    </row>
    <row r="11" spans="1:11" ht="30" x14ac:dyDescent="0.25">
      <c r="A11" s="2" t="s">
        <v>22</v>
      </c>
      <c r="B11" s="2" t="s">
        <v>23</v>
      </c>
      <c r="C11" s="3">
        <v>14</v>
      </c>
      <c r="D11" s="3">
        <v>140</v>
      </c>
    </row>
    <row r="12" spans="1:11" ht="30" x14ac:dyDescent="0.25">
      <c r="A12" s="2" t="s">
        <v>24</v>
      </c>
      <c r="B12" s="2" t="s">
        <v>25</v>
      </c>
      <c r="C12" s="3">
        <v>10</v>
      </c>
      <c r="D12" s="3">
        <v>100</v>
      </c>
    </row>
    <row r="13" spans="1:11" ht="45" x14ac:dyDescent="0.25">
      <c r="A13" s="2" t="s">
        <v>26</v>
      </c>
      <c r="B13" s="2" t="s">
        <v>27</v>
      </c>
      <c r="C13" s="3">
        <v>9</v>
      </c>
      <c r="D13" s="3">
        <v>90</v>
      </c>
    </row>
    <row r="14" spans="1:11" ht="30" x14ac:dyDescent="0.25">
      <c r="A14" s="2" t="s">
        <v>28</v>
      </c>
      <c r="B14" s="2" t="s">
        <v>29</v>
      </c>
      <c r="C14" s="3">
        <v>8</v>
      </c>
      <c r="D14" s="3">
        <v>80</v>
      </c>
    </row>
    <row r="15" spans="1:11" ht="30" x14ac:dyDescent="0.25">
      <c r="A15" s="2" t="s">
        <v>30</v>
      </c>
      <c r="B15" s="2" t="s">
        <v>31</v>
      </c>
      <c r="C15" s="3">
        <v>12</v>
      </c>
      <c r="D15" s="3">
        <v>120</v>
      </c>
    </row>
    <row r="16" spans="1:11" ht="30" x14ac:dyDescent="0.25">
      <c r="A16" s="2" t="s">
        <v>32</v>
      </c>
      <c r="B16" s="2" t="s">
        <v>33</v>
      </c>
      <c r="C16" s="3">
        <v>11</v>
      </c>
      <c r="D16" s="3">
        <v>110</v>
      </c>
    </row>
    <row r="17" spans="1:4" ht="30" x14ac:dyDescent="0.25">
      <c r="A17" s="2" t="s">
        <v>34</v>
      </c>
      <c r="B17" s="2" t="s">
        <v>35</v>
      </c>
      <c r="C17" s="3">
        <v>7</v>
      </c>
      <c r="D17" s="3">
        <v>70</v>
      </c>
    </row>
    <row r="18" spans="1:4" ht="30" x14ac:dyDescent="0.25">
      <c r="A18" s="2" t="s">
        <v>36</v>
      </c>
      <c r="B18" s="2" t="s">
        <v>37</v>
      </c>
      <c r="C18" s="3">
        <v>6</v>
      </c>
      <c r="D18" s="3">
        <v>60</v>
      </c>
    </row>
    <row r="19" spans="1:4" x14ac:dyDescent="0.25">
      <c r="A19" s="2" t="s">
        <v>38</v>
      </c>
      <c r="B19" s="2" t="s">
        <v>39</v>
      </c>
      <c r="C19" s="3">
        <v>9</v>
      </c>
      <c r="D19" s="3">
        <v>90</v>
      </c>
    </row>
    <row r="20" spans="1:4" ht="45" x14ac:dyDescent="0.25">
      <c r="A20" s="2" t="s">
        <v>40</v>
      </c>
      <c r="B20" s="2" t="s">
        <v>41</v>
      </c>
      <c r="C20" s="3">
        <v>5</v>
      </c>
      <c r="D20" s="3">
        <v>50</v>
      </c>
    </row>
    <row r="21" spans="1:4" ht="45" x14ac:dyDescent="0.25">
      <c r="A21" s="2" t="s">
        <v>42</v>
      </c>
      <c r="B21" s="2" t="s">
        <v>43</v>
      </c>
      <c r="C21" s="3">
        <v>8</v>
      </c>
      <c r="D21" s="3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SHANMUKASAI T</dc:creator>
  <cp:lastModifiedBy>SHANMUKASAI T</cp:lastModifiedBy>
  <dcterms:created xsi:type="dcterms:W3CDTF">2026-05-26T16:05:57Z</dcterms:created>
  <dcterms:modified xsi:type="dcterms:W3CDTF">2026-05-26T16:53:27Z</dcterms:modified>
</cp:coreProperties>
</file>