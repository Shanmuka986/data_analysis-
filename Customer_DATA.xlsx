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TA_ANALYSIS_EXCEL\"/>
    </mc:Choice>
  </mc:AlternateContent>
  <xr:revisionPtr revIDLastSave="0" documentId="13_ncr:1_{5023F1AB-9672-4F37-A5ED-64199A2D99AC}" xr6:coauthVersionLast="47" xr6:coauthVersionMax="47" xr10:uidLastSave="{00000000-0000-0000-0000-000000000000}"/>
  <bookViews>
    <workbookView xWindow="-120" yWindow="-120" windowWidth="20730" windowHeight="11040" activeTab="2" xr2:uid="{877B67A3-22E3-44AF-A409-592E7C242D74}"/>
  </bookViews>
  <sheets>
    <sheet name="Sheet3" sheetId="3" r:id="rId1"/>
    <sheet name="Sheet4" sheetId="4" r:id="rId2"/>
    <sheet name="custome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<sst xmlns="http://schemas.openxmlformats.org/spreadsheetml/2006/main" count="95" uniqueCount="93">
  <si>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</si>
  <si>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</si>
  <si>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</si>
  <si>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</si>
  <si>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</si>
  <si>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</si>
  <si>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</si>
  <si>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</si>
  <si>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</si>
  <si>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</si>
  <si>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</si>
  <si>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</si>
  <si>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</si>
  <si>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</si>
  <si>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Customer_ID</t>
  </si>
  <si>
    <t>Customer_Name</t>
  </si>
  <si>
    <t>Order_Amount</t>
  </si>
  <si>
    <t>Items_Purchased</t>
  </si>
  <si>
    <t>C001</t>
  </si>
  <si>
    <t>Arun</t>
  </si>
  <si>
    <t>C002</t>
  </si>
  <si>
    <t>Priya</t>
  </si>
  <si>
    <t>C003</t>
  </si>
  <si>
    <t>Rahul</t>
  </si>
  <si>
    <t>C004</t>
  </si>
  <si>
    <t>Sneha</t>
  </si>
  <si>
    <t>C005</t>
  </si>
  <si>
    <t>Kiran</t>
  </si>
  <si>
    <t>C006</t>
  </si>
  <si>
    <t>Meena</t>
  </si>
  <si>
    <t>C007</t>
  </si>
  <si>
    <t>Raju</t>
  </si>
  <si>
    <t>C008</t>
  </si>
  <si>
    <t>Divya</t>
  </si>
  <si>
    <t>C009</t>
  </si>
  <si>
    <t>Ajay</t>
  </si>
  <si>
    <t>C010</t>
  </si>
  <si>
    <t>Neha</t>
  </si>
  <si>
    <t>C011</t>
  </si>
  <si>
    <t>Vikas</t>
  </si>
  <si>
    <t>C012</t>
  </si>
  <si>
    <t>Pooja</t>
  </si>
  <si>
    <t>C013</t>
  </si>
  <si>
    <t>Ravi</t>
  </si>
  <si>
    <t>C014</t>
  </si>
  <si>
    <t>Anu</t>
  </si>
  <si>
    <t>C015</t>
  </si>
  <si>
    <t>Deepak</t>
  </si>
  <si>
    <t>C016</t>
  </si>
  <si>
    <t>Swathi</t>
  </si>
  <si>
    <t>C017</t>
  </si>
  <si>
    <t>Manoj</t>
  </si>
  <si>
    <t>C018</t>
  </si>
  <si>
    <t>Kavya</t>
  </si>
  <si>
    <t>C019</t>
  </si>
  <si>
    <t>Teja</t>
  </si>
  <si>
    <t>C020</t>
  </si>
  <si>
    <t>Nisha</t>
  </si>
  <si>
    <t>MEAN</t>
  </si>
  <si>
    <t>MEDIAN</t>
  </si>
  <si>
    <t>MODE</t>
  </si>
  <si>
    <t>RANGE</t>
  </si>
  <si>
    <t>VARIANCE</t>
  </si>
  <si>
    <t>STDEV</t>
  </si>
  <si>
    <t>CORREL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</si>
  <si>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</si>
  <si>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</si>
  <si>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</si>
  <si>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</si>
  <si>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</si>
  <si>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</si>
  <si>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</si>
  <si>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</si>
  <si>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</si>
  <si>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</si>
  <si>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</si>
  <si>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</si>
  <si>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</si>
  <si>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</si>
  <si>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</si>
  <si>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</si>
  <si>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</si>
  <si>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</si>
  <si>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</si>
  <si>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</si>
  <si>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</si>
  <si>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</si>
  <si>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</si>
  <si>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</si>
  <si>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</si>
  <si>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2500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</si>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</sst>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customer!$D$3:$D$21</c:f>
              <c:numCache>
                <c:formatCode>General</c:formatCode>
                <c:ptCount val="19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8</c:v>
                </c:pt>
                <c:pt idx="18">
                  <c:v>4</c:v>
                </c:pt>
              </c:numCache>
            </c:numRef>
          </c:xVal>
          <c:yVal>
            <c:numRef>
              <c:f>Sheet3!$C$25:$C$43</c:f>
              <c:numCache>
                <c:formatCode>General</c:formatCode>
                <c:ptCount val="19"/>
                <c:pt idx="0">
                  <c:v>-85.588972431077764</c:v>
                </c:pt>
                <c:pt idx="1">
                  <c:v>138.22055137844654</c:v>
                </c:pt>
                <c:pt idx="2">
                  <c:v>-91.541353383458727</c:v>
                </c:pt>
                <c:pt idx="3">
                  <c:v>-67.731829573935102</c:v>
                </c:pt>
                <c:pt idx="4">
                  <c:v>-79.636591478696573</c:v>
                </c:pt>
                <c:pt idx="5">
                  <c:v>44.17293233082728</c:v>
                </c:pt>
                <c:pt idx="6">
                  <c:v>14.411027568922236</c:v>
                </c:pt>
                <c:pt idx="7">
                  <c:v>32.268170426064898</c:v>
                </c:pt>
                <c:pt idx="8">
                  <c:v>120.36340852130343</c:v>
                </c:pt>
                <c:pt idx="9">
                  <c:v>38.220551378446544</c:v>
                </c:pt>
                <c:pt idx="10">
                  <c:v>108.45864661654127</c:v>
                </c:pt>
                <c:pt idx="11">
                  <c:v>126.31578947368416</c:v>
                </c:pt>
                <c:pt idx="12">
                  <c:v>-179.63659147869657</c:v>
                </c:pt>
                <c:pt idx="13">
                  <c:v>-149.87468671679198</c:v>
                </c:pt>
                <c:pt idx="14">
                  <c:v>-73.684210526315837</c:v>
                </c:pt>
                <c:pt idx="15">
                  <c:v>132.2681704260649</c:v>
                </c:pt>
                <c:pt idx="16">
                  <c:v>8.458646616541273</c:v>
                </c:pt>
                <c:pt idx="17">
                  <c:v>-55.82706766917272</c:v>
                </c:pt>
                <c:pt idx="18">
                  <c:v>20.363408521303427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E4-4941-8CAC-19408590C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66912"/>
        <c:axId val="1016865952"/>
      </c:scatterChart>
      <c:valAx>
        <c:axId val="101686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6865952"/>
        <c:crosses val="autoZero"/>
        <c:crossBetween val="midCat"/>
      </c:valAx>
      <c:valAx>
        <c:axId val="1016865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686691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customer!$D$3:$D$21</c:f>
              <c:numCache>
                <c:formatCode>General</c:formatCode>
                <c:ptCount val="19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8</c:v>
                </c:pt>
                <c:pt idx="18">
                  <c:v>4</c:v>
                </c:pt>
              </c:numCache>
            </c:numRef>
          </c:xVal>
          <c:yVal>
            <c:numRef>
              <c:f>customer!$C$3:$C$21</c:f>
              <c:numCache>
                <c:formatCode>General</c:formatCode>
                <c:ptCount val="19"/>
                <c:pt idx="0">
                  <c:v>1800</c:v>
                </c:pt>
                <c:pt idx="1">
                  <c:v>3200</c:v>
                </c:pt>
                <c:pt idx="2">
                  <c:v>1500</c:v>
                </c:pt>
                <c:pt idx="3">
                  <c:v>2700</c:v>
                </c:pt>
                <c:pt idx="4">
                  <c:v>2100</c:v>
                </c:pt>
                <c:pt idx="5">
                  <c:v>3400</c:v>
                </c:pt>
                <c:pt idx="6">
                  <c:v>1900</c:v>
                </c:pt>
                <c:pt idx="7">
                  <c:v>2800</c:v>
                </c:pt>
                <c:pt idx="8">
                  <c:v>2300</c:v>
                </c:pt>
                <c:pt idx="9">
                  <c:v>3100</c:v>
                </c:pt>
                <c:pt idx="10">
                  <c:v>1700</c:v>
                </c:pt>
                <c:pt idx="11">
                  <c:v>2600</c:v>
                </c:pt>
                <c:pt idx="12">
                  <c:v>2000</c:v>
                </c:pt>
                <c:pt idx="13">
                  <c:v>3500</c:v>
                </c:pt>
                <c:pt idx="14">
                  <c:v>2400</c:v>
                </c:pt>
                <c:pt idx="15">
                  <c:v>2900</c:v>
                </c:pt>
                <c:pt idx="16">
                  <c:v>1600</c:v>
                </c:pt>
                <c:pt idx="17">
                  <c:v>3300</c:v>
                </c:pt>
                <c:pt idx="18">
                  <c:v>2200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A3-4BD1-A898-4C4325174A89}"/>
            </c:ext>
          </c:extLst>
        </c:ser>
        <c:ser>
          <c:idx val="1"/>
          <c:order val="1"/>
          <c:tx>
            <c:v>Predicted 2500</c:v>
          </c:tx>
          <c:spPr>
            <a:ln w="19050">
              <a:noFill/>
            </a:ln>
          </c:spPr>
          <c:xVal>
            <c:numRef>
              <c:f>customer!$D$3:$D$21</c:f>
              <c:numCache>
                <c:formatCode>General</c:formatCode>
                <c:ptCount val="19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6</c:v>
                </c:pt>
                <c:pt idx="16">
                  <c:v>2</c:v>
                </c:pt>
                <c:pt idx="17">
                  <c:v>8</c:v>
                </c:pt>
                <c:pt idx="18">
                  <c:v>4</c:v>
                </c:pt>
              </c:numCache>
            </c:numRef>
          </c:xVal>
          <c:yVal>
            <c:numRef>
              <c:f>Sheet3!$B$25:$B$43</c:f>
              <c:numCache>
                <c:formatCode>General</c:formatCode>
                <c:ptCount val="19"/>
                <c:pt idx="0">
                  <c:v>1885.5889724310778</c:v>
                </c:pt>
                <c:pt idx="1">
                  <c:v>3061.7794486215535</c:v>
                </c:pt>
                <c:pt idx="2">
                  <c:v>1591.5413533834587</c:v>
                </c:pt>
                <c:pt idx="3">
                  <c:v>2767.7318295739351</c:v>
                </c:pt>
                <c:pt idx="4">
                  <c:v>2179.6365914786966</c:v>
                </c:pt>
                <c:pt idx="5">
                  <c:v>3355.8270676691727</c:v>
                </c:pt>
                <c:pt idx="6">
                  <c:v>1885.5889724310778</c:v>
                </c:pt>
                <c:pt idx="7">
                  <c:v>2767.7318295739351</c:v>
                </c:pt>
                <c:pt idx="8">
                  <c:v>2179.6365914786966</c:v>
                </c:pt>
                <c:pt idx="9">
                  <c:v>3061.7794486215535</c:v>
                </c:pt>
                <c:pt idx="10">
                  <c:v>1591.5413533834587</c:v>
                </c:pt>
                <c:pt idx="11">
                  <c:v>2473.6842105263158</c:v>
                </c:pt>
                <c:pt idx="12">
                  <c:v>2179.6365914786966</c:v>
                </c:pt>
                <c:pt idx="13">
                  <c:v>3649.874686716792</c:v>
                </c:pt>
                <c:pt idx="14">
                  <c:v>2473.6842105263158</c:v>
                </c:pt>
                <c:pt idx="15">
                  <c:v>2767.7318295739351</c:v>
                </c:pt>
                <c:pt idx="16">
                  <c:v>1591.5413533834587</c:v>
                </c:pt>
                <c:pt idx="17">
                  <c:v>3355.8270676691727</c:v>
                </c:pt>
                <c:pt idx="18">
                  <c:v>2179.6365914786966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A3-4BD1-A898-4C432517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93088"/>
        <c:axId val="1483794048"/>
      </c:scatterChart>
      <c:valAx>
        <c:axId val="148379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3794048"/>
        <c:crosses val="autoZero"/>
        <c:crossBetween val="midCat"/>
      </c:valAx>
      <c:valAx>
        <c:axId val="1483794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2500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83793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0867891513560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customer!$C$1</c:f>
              <c:strCache>
                <c:ptCount val="1"/>
                <c:pt idx="0">
                  <c:v>Order_Amount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</c:dPt>
          <c:val>
            <c:numRef>
              <c:f>customer!$C$2:$C$21</c:f>
              <c:numCache>
                <c:formatCode>General</c:formatCode>
                <c:ptCount val="20"/>
                <c:pt idx="0">
                  <c:v>2500</c:v>
                </c:pt>
                <c:pt idx="1">
                  <c:v>1800</c:v>
                </c:pt>
                <c:pt idx="2">
                  <c:v>3200</c:v>
                </c:pt>
                <c:pt idx="3">
                  <c:v>1500</c:v>
                </c:pt>
                <c:pt idx="4">
                  <c:v>2700</c:v>
                </c:pt>
                <c:pt idx="5">
                  <c:v>2100</c:v>
                </c:pt>
                <c:pt idx="6">
                  <c:v>3400</c:v>
                </c:pt>
                <c:pt idx="7">
                  <c:v>1900</c:v>
                </c:pt>
                <c:pt idx="8">
                  <c:v>2800</c:v>
                </c:pt>
                <c:pt idx="9">
                  <c:v>2300</c:v>
                </c:pt>
                <c:pt idx="10">
                  <c:v>3100</c:v>
                </c:pt>
                <c:pt idx="11">
                  <c:v>1700</c:v>
                </c:pt>
                <c:pt idx="12">
                  <c:v>2600</c:v>
                </c:pt>
                <c:pt idx="13">
                  <c:v>2000</c:v>
                </c:pt>
                <c:pt idx="14">
                  <c:v>3500</c:v>
                </c:pt>
                <c:pt idx="15">
                  <c:v>2400</c:v>
                </c:pt>
                <c:pt idx="16">
                  <c:v>2900</c:v>
                </c:pt>
                <c:pt idx="17">
                  <c:v>1600</c:v>
                </c:pt>
                <c:pt idx="18">
                  <c:v>3300</c:v>
                </c:pt>
                <c:pt idx="19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2-45C3-B868-6A9489425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VS purchased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customer!$C$1</c:f>
              <c:strCache>
                <c:ptCount val="1"/>
                <c:pt idx="0">
                  <c:v>Order_Amount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customer!$C$2:$C$21</c:f>
              <c:numCache>
                <c:formatCode>General</c:formatCode>
                <c:ptCount val="20"/>
                <c:pt idx="0">
                  <c:v>2500</c:v>
                </c:pt>
                <c:pt idx="1">
                  <c:v>1800</c:v>
                </c:pt>
                <c:pt idx="2">
                  <c:v>3200</c:v>
                </c:pt>
                <c:pt idx="3">
                  <c:v>1500</c:v>
                </c:pt>
                <c:pt idx="4">
                  <c:v>2700</c:v>
                </c:pt>
                <c:pt idx="5">
                  <c:v>2100</c:v>
                </c:pt>
                <c:pt idx="6">
                  <c:v>3400</c:v>
                </c:pt>
                <c:pt idx="7">
                  <c:v>1900</c:v>
                </c:pt>
                <c:pt idx="8">
                  <c:v>2800</c:v>
                </c:pt>
                <c:pt idx="9">
                  <c:v>2300</c:v>
                </c:pt>
                <c:pt idx="10">
                  <c:v>3100</c:v>
                </c:pt>
                <c:pt idx="11">
                  <c:v>1700</c:v>
                </c:pt>
                <c:pt idx="12">
                  <c:v>2600</c:v>
                </c:pt>
                <c:pt idx="13">
                  <c:v>2000</c:v>
                </c:pt>
                <c:pt idx="14">
                  <c:v>3500</c:v>
                </c:pt>
                <c:pt idx="15">
                  <c:v>2400</c:v>
                </c:pt>
                <c:pt idx="16">
                  <c:v>2900</c:v>
                </c:pt>
                <c:pt idx="17">
                  <c:v>1600</c:v>
                </c:pt>
                <c:pt idx="18">
                  <c:v>3300</c:v>
                </c:pt>
                <c:pt idx="19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6-4EA3-985F-6CB254592F30}"/>
            </c:ext>
          </c:extLst>
        </c:ser>
        <c:ser>
          <c:idx val="1"/>
          <c:order val="1"/>
          <c:tx>
            <c:strRef>
              <c:f>customer!$D$1</c:f>
              <c:strCache>
                <c:ptCount val="1"/>
                <c:pt idx="0">
                  <c:v>Items_Purchased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customer!$D$2:$D$21</c:f>
              <c:numCache>
                <c:formatCode>General</c:formatCode>
                <c:ptCount val="20"/>
                <c:pt idx="0">
                  <c:v>5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7</c:v>
                </c:pt>
                <c:pt idx="11">
                  <c:v>2</c:v>
                </c:pt>
                <c:pt idx="12">
                  <c:v>5</c:v>
                </c:pt>
                <c:pt idx="13">
                  <c:v>4</c:v>
                </c:pt>
                <c:pt idx="14">
                  <c:v>9</c:v>
                </c:pt>
                <c:pt idx="15">
                  <c:v>5</c:v>
                </c:pt>
                <c:pt idx="16">
                  <c:v>6</c:v>
                </c:pt>
                <c:pt idx="17">
                  <c:v>2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6-4EA3-985F-6CB254592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517440"/>
        <c:axId val="1291517920"/>
      </c:barChart>
      <c:catAx>
        <c:axId val="129151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7920"/>
        <c:crosses val="autoZero"/>
        <c:auto val="1"/>
        <c:lblAlgn val="ctr"/>
        <c:lblOffset val="100"/>
        <c:noMultiLvlLbl val="0"/>
      </c:catAx>
      <c:valAx>
        <c:axId val="12915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1</xdr:row>
      <xdr:rowOff>76200</xdr:rowOff>
    </xdr:from>
    <xdr:to>
      <xdr:col>17</xdr:col>
      <xdr:colOff>209550</xdr:colOff>
      <xdr:row>11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7AD8B-9868-D816-927C-8B8960B49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333375</xdr:colOff>
      <xdr:row>13</xdr:row>
      <xdr:rowOff>38100</xdr:rowOff>
    </xdr:from>
    <xdr:to>
      <xdr:col>16</xdr:col>
      <xdr:colOff>333375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FEB8A-36E7-D652-55FD-2DD17B905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52387</xdr:rowOff>
    </xdr:from>
    <xdr:to>
      <xdr:col>11</xdr:col>
      <xdr:colOff>371475</xdr:colOff>
      <xdr:row>16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012AA6-0AA0-FEB3-70B3-B1AAB6AB3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17</xdr:row>
      <xdr:rowOff>4762</xdr:rowOff>
    </xdr:from>
    <xdr:to>
      <xdr:col>11</xdr:col>
      <xdr:colOff>371475</xdr:colOff>
      <xdr:row>31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C9B904-E0E4-7DAE-9176-51236EED0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F992-9517-4905-8E9E-91FC1B97CD72}">
  <dimension ref="A1:I43"/>
  <sheetViews>
    <sheetView workbookViewId="0">
      <selection sqref="A1:I43"/>
    </sheetView>
  </sheetViews>
  <sheetFormatPr defaultRowHeight="15" x14ac:dyDescent="0.25"/>
  <sheetData>
    <row r="1" spans="1:9" x14ac:dyDescent="0.25">
      <c r="A1" t="s">
        <v>65</v>
      </c>
    </row>
    <row r="2" spans="1:9" ht="15.75" thickBot="1" x14ac:dyDescent="0.3"/>
    <row r="3" spans="1:9" x14ac:dyDescent="0.25">
      <c r="A3" s="6" t="s">
        <v>66</v>
      </c>
      <c r="B3" s="6"/>
    </row>
    <row r="4" spans="1:9" x14ac:dyDescent="0.25">
      <c r="A4" s="3" t="s">
        <v>67</v>
      </c>
      <c r="B4" s="3">
        <v>0.98824136842066312</v>
      </c>
    </row>
    <row r="5" spans="1:9" x14ac:dyDescent="0.25">
      <c r="A5" s="3" t="s">
        <v>68</v>
      </c>
      <c r="B5" s="3">
        <v>0.9766210022579449</v>
      </c>
    </row>
    <row r="6" spans="1:9" x14ac:dyDescent="0.25">
      <c r="A6" s="3" t="s">
        <v>69</v>
      </c>
      <c r="B6" s="3">
        <v>0.97524576709664756</v>
      </c>
    </row>
    <row r="7" spans="1:9" x14ac:dyDescent="0.25">
      <c r="A7" s="3" t="s">
        <v>1</v>
      </c>
      <c r="B7" s="3">
        <v>101.13064200416481</v>
      </c>
    </row>
    <row r="8" spans="1:9" ht="15.75" thickBot="1" x14ac:dyDescent="0.3">
      <c r="A8" s="4" t="s">
        <v>70</v>
      </c>
      <c r="B8" s="4">
        <v>19</v>
      </c>
    </row>
    <row r="10" spans="1:9" ht="15.75" thickBot="1" x14ac:dyDescent="0.3">
      <c r="A10" t="s">
        <v>71</v>
      </c>
    </row>
    <row r="11" spans="1:9" x14ac:dyDescent="0.25">
      <c r="A11" s="5"/>
      <c r="B11" s="5" t="s">
        <v>76</v>
      </c>
      <c r="C11" s="5" t="s">
        <v>77</v>
      </c>
      <c r="D11" s="5" t="s">
        <v>78</v>
      </c>
      <c r="E11" s="5" t="s">
        <v>79</v>
      </c>
      <c r="F11" s="5" t="s">
        <v>80</v>
      </c>
    </row>
    <row r="12" spans="1:9" x14ac:dyDescent="0.25">
      <c r="A12" s="3" t="s">
        <v>72</v>
      </c>
      <c r="B12" s="3">
        <v>1</v>
      </c>
      <c r="C12" s="3">
        <v>7262976.1904761894</v>
      </c>
      <c r="D12" s="3">
        <v>7262976.1904761894</v>
      </c>
      <c r="E12" s="3">
        <v>710.14836570687282</v>
      </c>
      <c r="F12" s="3">
        <v>2.629928555775933E-15</v>
      </c>
    </row>
    <row r="13" spans="1:9" x14ac:dyDescent="0.25">
      <c r="A13" s="3" t="s">
        <v>73</v>
      </c>
      <c r="B13" s="3">
        <v>17</v>
      </c>
      <c r="C13" s="3">
        <v>173865.91478696727</v>
      </c>
      <c r="D13" s="3">
        <v>10227.406752174546</v>
      </c>
      <c r="E13" s="3"/>
      <c r="F13" s="3"/>
    </row>
    <row r="14" spans="1:9" ht="15.75" thickBot="1" x14ac:dyDescent="0.3">
      <c r="A14" s="4" t="s">
        <v>74</v>
      </c>
      <c r="B14" s="4">
        <v>18</v>
      </c>
      <c r="C14" s="4">
        <v>7436842.1052631568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81</v>
      </c>
      <c r="C16" s="5" t="s">
        <v>1</v>
      </c>
      <c r="D16" s="5" t="s">
        <v>82</v>
      </c>
      <c r="E16" s="5" t="s">
        <v>83</v>
      </c>
      <c r="F16" s="5" t="s">
        <v>84</v>
      </c>
      <c r="G16" s="5" t="s">
        <v>85</v>
      </c>
      <c r="H16" s="5" t="s">
        <v>86</v>
      </c>
      <c r="I16" s="5" t="s">
        <v>87</v>
      </c>
    </row>
    <row r="17" spans="1:9" x14ac:dyDescent="0.25">
      <c r="A17" s="3" t="s">
        <v>75</v>
      </c>
      <c r="B17" s="3">
        <v>1003.4461152882207</v>
      </c>
      <c r="C17" s="3">
        <v>59.851112129172058</v>
      </c>
      <c r="D17" s="3">
        <v>16.765705424530122</v>
      </c>
      <c r="E17" s="3">
        <v>5.2310348966181147E-12</v>
      </c>
      <c r="F17" s="3">
        <v>877.17130656744484</v>
      </c>
      <c r="G17" s="3">
        <v>1129.7209240089965</v>
      </c>
      <c r="H17" s="3">
        <v>877.17130656744484</v>
      </c>
      <c r="I17" s="3">
        <v>1129.7209240089965</v>
      </c>
    </row>
    <row r="18" spans="1:9" ht="15.75" thickBot="1" x14ac:dyDescent="0.3">
      <c r="A18" s="4">
        <v>5</v>
      </c>
      <c r="B18" s="4">
        <v>294.04761904761904</v>
      </c>
      <c r="C18" s="4">
        <v>11.034257668180137</v>
      </c>
      <c r="D18" s="4">
        <v>26.648609076401588</v>
      </c>
      <c r="E18" s="4">
        <v>2.629928555775933E-15</v>
      </c>
      <c r="F18" s="4">
        <v>270.76737032946585</v>
      </c>
      <c r="G18" s="4">
        <v>317.32786776577223</v>
      </c>
      <c r="H18" s="4">
        <v>270.76737032946585</v>
      </c>
      <c r="I18" s="4">
        <v>317.32786776577223</v>
      </c>
    </row>
    <row r="22" spans="1:9" x14ac:dyDescent="0.25">
      <c r="A22" t="s">
        <v>88</v>
      </c>
    </row>
    <row r="23" spans="1:9" ht="15.75" thickBot="1" x14ac:dyDescent="0.3"/>
    <row r="24" spans="1:9" x14ac:dyDescent="0.25">
      <c r="A24" s="5" t="s">
        <v>89</v>
      </c>
      <c r="B24" s="5" t="s">
        <v>90</v>
      </c>
      <c r="C24" s="5" t="s">
        <v>91</v>
      </c>
      <c r="D24" s="5" t="s">
        <v>92</v>
      </c>
    </row>
    <row r="25" spans="1:9" x14ac:dyDescent="0.25">
      <c r="A25" s="3">
        <v>1</v>
      </c>
      <c r="B25" s="3">
        <v>1885.5889724310778</v>
      </c>
      <c r="C25" s="3">
        <v>-85.588972431077764</v>
      </c>
      <c r="D25" s="3">
        <v>-0.87085698566769876</v>
      </c>
    </row>
    <row r="26" spans="1:9" x14ac:dyDescent="0.25">
      <c r="A26" s="3">
        <v>2</v>
      </c>
      <c r="B26" s="3">
        <v>3061.7794486215535</v>
      </c>
      <c r="C26" s="3">
        <v>138.22055137844654</v>
      </c>
      <c r="D26" s="3">
        <v>1.4063766547459355</v>
      </c>
    </row>
    <row r="27" spans="1:9" x14ac:dyDescent="0.25">
      <c r="A27" s="3">
        <v>3</v>
      </c>
      <c r="B27" s="3">
        <v>1591.5413533834587</v>
      </c>
      <c r="C27" s="3">
        <v>-91.541353383458727</v>
      </c>
      <c r="D27" s="3">
        <v>-0.93142171014678476</v>
      </c>
    </row>
    <row r="28" spans="1:9" x14ac:dyDescent="0.25">
      <c r="A28" s="3">
        <v>4</v>
      </c>
      <c r="B28" s="3">
        <v>2767.7318295739351</v>
      </c>
      <c r="C28" s="3">
        <v>-67.731829573935102</v>
      </c>
      <c r="D28" s="3">
        <v>-0.68916281223044318</v>
      </c>
    </row>
    <row r="29" spans="1:9" x14ac:dyDescent="0.25">
      <c r="A29" s="3">
        <v>5</v>
      </c>
      <c r="B29" s="3">
        <v>2179.6365914786966</v>
      </c>
      <c r="C29" s="3">
        <v>-79.636591478696573</v>
      </c>
      <c r="D29" s="3">
        <v>-0.81029226118861053</v>
      </c>
    </row>
    <row r="30" spans="1:9" x14ac:dyDescent="0.25">
      <c r="A30" s="3">
        <v>6</v>
      </c>
      <c r="B30" s="3">
        <v>3355.8270676691727</v>
      </c>
      <c r="C30" s="3">
        <v>44.17293233082728</v>
      </c>
      <c r="D30" s="3">
        <v>0.44945400797637636</v>
      </c>
    </row>
    <row r="31" spans="1:9" x14ac:dyDescent="0.25">
      <c r="A31" s="3">
        <v>7</v>
      </c>
      <c r="B31" s="3">
        <v>1885.5889724310778</v>
      </c>
      <c r="C31" s="3">
        <v>14.411027568922236</v>
      </c>
      <c r="D31" s="3">
        <v>0.14663038558094407</v>
      </c>
    </row>
    <row r="32" spans="1:9" x14ac:dyDescent="0.25">
      <c r="A32" s="3">
        <v>8</v>
      </c>
      <c r="B32" s="3">
        <v>2767.7318295739351</v>
      </c>
      <c r="C32" s="3">
        <v>32.268170426064898</v>
      </c>
      <c r="D32" s="3">
        <v>0.32832455901819974</v>
      </c>
    </row>
    <row r="33" spans="1:4" x14ac:dyDescent="0.25">
      <c r="A33" s="3">
        <v>9</v>
      </c>
      <c r="B33" s="3">
        <v>2179.6365914786966</v>
      </c>
      <c r="C33" s="3">
        <v>120.36340852130343</v>
      </c>
      <c r="D33" s="3">
        <v>1.2246824813086752</v>
      </c>
    </row>
    <row r="34" spans="1:4" x14ac:dyDescent="0.25">
      <c r="A34" s="3">
        <v>10</v>
      </c>
      <c r="B34" s="3">
        <v>3061.7794486215535</v>
      </c>
      <c r="C34" s="3">
        <v>38.220551378446544</v>
      </c>
      <c r="D34" s="3">
        <v>0.38888928349729268</v>
      </c>
    </row>
    <row r="35" spans="1:4" x14ac:dyDescent="0.25">
      <c r="A35" s="3">
        <v>11</v>
      </c>
      <c r="B35" s="3">
        <v>1591.5413533834587</v>
      </c>
      <c r="C35" s="3">
        <v>108.45864661654127</v>
      </c>
      <c r="D35" s="3">
        <v>1.103553032350501</v>
      </c>
    </row>
    <row r="36" spans="1:4" x14ac:dyDescent="0.25">
      <c r="A36" s="3">
        <v>12</v>
      </c>
      <c r="B36" s="3">
        <v>2473.6842105263158</v>
      </c>
      <c r="C36" s="3">
        <v>126.31578947368416</v>
      </c>
      <c r="D36" s="3">
        <v>1.2852472057877589</v>
      </c>
    </row>
    <row r="37" spans="1:4" x14ac:dyDescent="0.25">
      <c r="A37" s="3">
        <v>13</v>
      </c>
      <c r="B37" s="3">
        <v>2179.6365914786966</v>
      </c>
      <c r="C37" s="3">
        <v>-179.63659147869657</v>
      </c>
      <c r="D37" s="3">
        <v>-1.8277796324372533</v>
      </c>
    </row>
    <row r="38" spans="1:4" x14ac:dyDescent="0.25">
      <c r="A38" s="3">
        <v>14</v>
      </c>
      <c r="B38" s="3">
        <v>3649.874686716792</v>
      </c>
      <c r="C38" s="3">
        <v>-149.87468671679198</v>
      </c>
      <c r="D38" s="3">
        <v>-1.5249560100418258</v>
      </c>
    </row>
    <row r="39" spans="1:4" x14ac:dyDescent="0.25">
      <c r="A39" s="3">
        <v>15</v>
      </c>
      <c r="B39" s="3">
        <v>2473.6842105263158</v>
      </c>
      <c r="C39" s="3">
        <v>-73.684210526315837</v>
      </c>
      <c r="D39" s="3">
        <v>-0.74972753670952685</v>
      </c>
    </row>
    <row r="40" spans="1:4" x14ac:dyDescent="0.25">
      <c r="A40" s="3">
        <v>16</v>
      </c>
      <c r="B40" s="3">
        <v>2767.7318295739351</v>
      </c>
      <c r="C40" s="3">
        <v>132.2681704260649</v>
      </c>
      <c r="D40" s="3">
        <v>1.3458119302668425</v>
      </c>
    </row>
    <row r="41" spans="1:4" x14ac:dyDescent="0.25">
      <c r="A41" s="3">
        <v>17</v>
      </c>
      <c r="B41" s="3">
        <v>1591.5413533834587</v>
      </c>
      <c r="C41" s="3">
        <v>8.458646616541273</v>
      </c>
      <c r="D41" s="3">
        <v>8.6065661101858065E-2</v>
      </c>
    </row>
    <row r="42" spans="1:4" x14ac:dyDescent="0.25">
      <c r="A42" s="3">
        <v>18</v>
      </c>
      <c r="B42" s="3">
        <v>3355.8270676691727</v>
      </c>
      <c r="C42" s="3">
        <v>-55.82706766917272</v>
      </c>
      <c r="D42" s="3">
        <v>-0.5680333632722665</v>
      </c>
    </row>
    <row r="43" spans="1:4" ht="15.75" thickBot="1" x14ac:dyDescent="0.3">
      <c r="A43" s="4">
        <v>19</v>
      </c>
      <c r="B43" s="4">
        <v>2179.6365914786966</v>
      </c>
      <c r="C43" s="4">
        <v>20.363408521303427</v>
      </c>
      <c r="D43" s="4">
        <v>0.20719511006003238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C993-B4DB-4CD1-9B9E-0D5290A78B96}">
  <dimension ref="A1:B16"/>
  <sheetViews>
    <sheetView workbookViewId="0">
      <selection activeCell="H9" sqref="H9"/>
    </sheetView>
  </sheetViews>
  <sheetFormatPr defaultRowHeight="15" x14ac:dyDescent="0.25"/>
  <sheetData>
    <row r="1" spans="1:2" x14ac:dyDescent="0.25">
      <c r="A1" s="6">
        <v>2500</v>
      </c>
      <c r="B1" s="6"/>
    </row>
    <row r="2" spans="1:2" x14ac:dyDescent="0.25">
      <c r="A2" s="3"/>
      <c r="B2" s="3"/>
    </row>
    <row r="3" spans="1:2" x14ac:dyDescent="0.25">
      <c r="A3" s="3" t="s">
        <v>0</v>
      </c>
      <c r="B3" s="3">
        <v>2473.6842105263158</v>
      </c>
    </row>
    <row r="4" spans="1:2" x14ac:dyDescent="0.25">
      <c r="A4" s="3" t="s">
        <v>1</v>
      </c>
      <c r="B4" s="3">
        <v>147.46237606444106</v>
      </c>
    </row>
    <row r="5" spans="1:2" x14ac:dyDescent="0.25">
      <c r="A5" s="3" t="s">
        <v>2</v>
      </c>
      <c r="B5" s="3">
        <v>2400</v>
      </c>
    </row>
    <row r="6" spans="1:2" x14ac:dyDescent="0.25">
      <c r="A6" s="3" t="s">
        <v>3</v>
      </c>
      <c r="B6" s="3" t="e">
        <v>#N/A</v>
      </c>
    </row>
    <row r="7" spans="1:2" x14ac:dyDescent="0.25">
      <c r="A7" s="3" t="s">
        <v>4</v>
      </c>
      <c r="B7" s="3">
        <v>642.77359523928965</v>
      </c>
    </row>
    <row r="8" spans="1:2" x14ac:dyDescent="0.25">
      <c r="A8" s="3" t="s">
        <v>5</v>
      </c>
      <c r="B8" s="3">
        <v>413157.89473684214</v>
      </c>
    </row>
    <row r="9" spans="1:2" x14ac:dyDescent="0.25">
      <c r="A9" s="3" t="s">
        <v>6</v>
      </c>
      <c r="B9" s="3">
        <v>-1.2901631454642786</v>
      </c>
    </row>
    <row r="10" spans="1:2" x14ac:dyDescent="0.25">
      <c r="A10" s="3" t="s">
        <v>7</v>
      </c>
      <c r="B10" s="3">
        <v>0.10812778642354526</v>
      </c>
    </row>
    <row r="11" spans="1:2" x14ac:dyDescent="0.25">
      <c r="A11" s="3" t="s">
        <v>8</v>
      </c>
      <c r="B11" s="3">
        <v>2000</v>
      </c>
    </row>
    <row r="12" spans="1:2" x14ac:dyDescent="0.25">
      <c r="A12" s="3" t="s">
        <v>9</v>
      </c>
      <c r="B12" s="3">
        <v>1500</v>
      </c>
    </row>
    <row r="13" spans="1:2" x14ac:dyDescent="0.25">
      <c r="A13" s="3" t="s">
        <v>10</v>
      </c>
      <c r="B13" s="3">
        <v>3500</v>
      </c>
    </row>
    <row r="14" spans="1:2" x14ac:dyDescent="0.25">
      <c r="A14" s="3" t="s">
        <v>11</v>
      </c>
      <c r="B14" s="3">
        <v>47000</v>
      </c>
    </row>
    <row r="15" spans="1:2" x14ac:dyDescent="0.25">
      <c r="A15" s="3" t="s">
        <v>12</v>
      </c>
      <c r="B15" s="3">
        <v>19</v>
      </c>
    </row>
    <row r="16" spans="1:2" ht="15.75" thickBot="1" x14ac:dyDescent="0.3">
      <c r="A16" s="4" t="s">
        <v>13</v>
      </c>
      <c r="B16" s="4">
        <v>309.80695598009669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0346-9F74-4641-A0B1-24B5C018E13B}">
  <dimension ref="A1:K21"/>
  <sheetViews>
    <sheetView tabSelected="1" workbookViewId="0"/>
  </sheetViews>
  <sheetFormatPr defaultRowHeight="15" x14ac:dyDescent="0.25"/>
  <cols>
    <col min="1" max="1" width="17.28515625" customWidth="1"/>
    <col min="2" max="2" width="24.42578125" customWidth="1"/>
    <col min="3" max="3" width="19" customWidth="1"/>
    <col min="4" max="4" width="19.5703125" customWidth="1"/>
  </cols>
  <sheetData>
    <row r="1" spans="1:11" x14ac:dyDescent="0.25">
      <c r="A1" s="1" t="s">
        <v>14</v>
      </c>
      <c r="B1" s="1" t="s">
        <v>15</v>
      </c>
      <c r="C1" s="8" t="s">
        <v>16</v>
      </c>
      <c r="D1" s="8" t="s">
        <v>17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 x14ac:dyDescent="0.25">
      <c r="A2" s="2" t="s">
        <v>18</v>
      </c>
      <c r="B2" s="2" t="s">
        <v>19</v>
      </c>
      <c r="C2" s="7">
        <v>2500</v>
      </c>
      <c r="D2" s="7">
        <v>5</v>
      </c>
      <c r="E2">
        <f>AVERAGE(C2:C21)</f>
        <v>2475</v>
      </c>
      <c r="F2">
        <f>MEDIAN(C2:C21)</f>
        <v>2450</v>
      </c>
      <c r="G2" t="e">
        <f>_xlfn.MODE.SNGL(C2:C21)</f>
        <v>#N/A</v>
      </c>
      <c r="H2">
        <f>MAX(C2:C21)-MIN(C2:C21)</f>
        <v>2000</v>
      </c>
      <c r="I2">
        <f>_xlfn.VAR.S(C2:C21)</f>
        <v>391447.36842105264</v>
      </c>
      <c r="J2">
        <f>_xlfn.STDEV.S(C2:C21)</f>
        <v>625.65754884046009</v>
      </c>
      <c r="K2">
        <f>CORREL(C2:C21,D2:D21)</f>
        <v>0.98819765929976677</v>
      </c>
    </row>
    <row r="3" spans="1:11" x14ac:dyDescent="0.25">
      <c r="A3" s="2" t="s">
        <v>20</v>
      </c>
      <c r="B3" s="2" t="s">
        <v>21</v>
      </c>
      <c r="C3" s="7">
        <v>1800</v>
      </c>
      <c r="D3" s="7">
        <v>3</v>
      </c>
    </row>
    <row r="4" spans="1:11" x14ac:dyDescent="0.25">
      <c r="A4" s="2" t="s">
        <v>22</v>
      </c>
      <c r="B4" s="2" t="s">
        <v>23</v>
      </c>
      <c r="C4" s="7">
        <v>3200</v>
      </c>
      <c r="D4" s="7">
        <v>7</v>
      </c>
    </row>
    <row r="5" spans="1:11" x14ac:dyDescent="0.25">
      <c r="A5" s="2" t="s">
        <v>24</v>
      </c>
      <c r="B5" s="2" t="s">
        <v>25</v>
      </c>
      <c r="C5" s="7">
        <v>1500</v>
      </c>
      <c r="D5" s="7">
        <v>2</v>
      </c>
    </row>
    <row r="6" spans="1:11" x14ac:dyDescent="0.25">
      <c r="A6" s="2" t="s">
        <v>26</v>
      </c>
      <c r="B6" s="2" t="s">
        <v>27</v>
      </c>
      <c r="C6" s="7">
        <v>2700</v>
      </c>
      <c r="D6" s="7">
        <v>6</v>
      </c>
    </row>
    <row r="7" spans="1:11" x14ac:dyDescent="0.25">
      <c r="A7" s="2" t="s">
        <v>28</v>
      </c>
      <c r="B7" s="2" t="s">
        <v>29</v>
      </c>
      <c r="C7" s="7">
        <v>2100</v>
      </c>
      <c r="D7" s="7">
        <v>4</v>
      </c>
    </row>
    <row r="8" spans="1:11" x14ac:dyDescent="0.25">
      <c r="A8" s="2" t="s">
        <v>30</v>
      </c>
      <c r="B8" s="2" t="s">
        <v>31</v>
      </c>
      <c r="C8" s="7">
        <v>3400</v>
      </c>
      <c r="D8" s="7">
        <v>8</v>
      </c>
    </row>
    <row r="9" spans="1:11" x14ac:dyDescent="0.25">
      <c r="A9" s="2" t="s">
        <v>32</v>
      </c>
      <c r="B9" s="2" t="s">
        <v>33</v>
      </c>
      <c r="C9" s="7">
        <v>1900</v>
      </c>
      <c r="D9" s="7">
        <v>3</v>
      </c>
    </row>
    <row r="10" spans="1:11" x14ac:dyDescent="0.25">
      <c r="A10" s="2" t="s">
        <v>34</v>
      </c>
      <c r="B10" s="2" t="s">
        <v>35</v>
      </c>
      <c r="C10" s="7">
        <v>2800</v>
      </c>
      <c r="D10" s="7">
        <v>6</v>
      </c>
    </row>
    <row r="11" spans="1:11" x14ac:dyDescent="0.25">
      <c r="A11" s="2" t="s">
        <v>36</v>
      </c>
      <c r="B11" s="2" t="s">
        <v>37</v>
      </c>
      <c r="C11" s="7">
        <v>2300</v>
      </c>
      <c r="D11" s="7">
        <v>4</v>
      </c>
    </row>
    <row r="12" spans="1:11" x14ac:dyDescent="0.25">
      <c r="A12" s="2" t="s">
        <v>38</v>
      </c>
      <c r="B12" s="2" t="s">
        <v>39</v>
      </c>
      <c r="C12" s="7">
        <v>3100</v>
      </c>
      <c r="D12" s="7">
        <v>7</v>
      </c>
    </row>
    <row r="13" spans="1:11" x14ac:dyDescent="0.25">
      <c r="A13" s="2" t="s">
        <v>40</v>
      </c>
      <c r="B13" s="2" t="s">
        <v>41</v>
      </c>
      <c r="C13" s="7">
        <v>1700</v>
      </c>
      <c r="D13" s="7">
        <v>2</v>
      </c>
    </row>
    <row r="14" spans="1:11" x14ac:dyDescent="0.25">
      <c r="A14" s="2" t="s">
        <v>42</v>
      </c>
      <c r="B14" s="2" t="s">
        <v>43</v>
      </c>
      <c r="C14" s="7">
        <v>2600</v>
      </c>
      <c r="D14" s="7">
        <v>5</v>
      </c>
    </row>
    <row r="15" spans="1:11" x14ac:dyDescent="0.25">
      <c r="A15" s="2" t="s">
        <v>44</v>
      </c>
      <c r="B15" s="2" t="s">
        <v>45</v>
      </c>
      <c r="C15" s="7">
        <v>2000</v>
      </c>
      <c r="D15" s="7">
        <v>4</v>
      </c>
    </row>
    <row r="16" spans="1:11" x14ac:dyDescent="0.25">
      <c r="A16" s="2" t="s">
        <v>46</v>
      </c>
      <c r="B16" s="2" t="s">
        <v>47</v>
      </c>
      <c r="C16" s="7">
        <v>3500</v>
      </c>
      <c r="D16" s="7">
        <v>9</v>
      </c>
    </row>
    <row r="17" spans="1:4" x14ac:dyDescent="0.25">
      <c r="A17" s="2" t="s">
        <v>48</v>
      </c>
      <c r="B17" s="2" t="s">
        <v>49</v>
      </c>
      <c r="C17" s="7">
        <v>2400</v>
      </c>
      <c r="D17" s="7">
        <v>5</v>
      </c>
    </row>
    <row r="18" spans="1:4" x14ac:dyDescent="0.25">
      <c r="A18" s="2" t="s">
        <v>50</v>
      </c>
      <c r="B18" s="2" t="s">
        <v>51</v>
      </c>
      <c r="C18" s="7">
        <v>2900</v>
      </c>
      <c r="D18" s="7">
        <v>6</v>
      </c>
    </row>
    <row r="19" spans="1:4" x14ac:dyDescent="0.25">
      <c r="A19" s="2" t="s">
        <v>52</v>
      </c>
      <c r="B19" s="2" t="s">
        <v>53</v>
      </c>
      <c r="C19" s="7">
        <v>1600</v>
      </c>
      <c r="D19" s="7">
        <v>2</v>
      </c>
    </row>
    <row r="20" spans="1:4" x14ac:dyDescent="0.25">
      <c r="A20" s="2" t="s">
        <v>54</v>
      </c>
      <c r="B20" s="2" t="s">
        <v>55</v>
      </c>
      <c r="C20" s="7">
        <v>3300</v>
      </c>
      <c r="D20" s="7">
        <v>8</v>
      </c>
    </row>
    <row r="21" spans="1:4" x14ac:dyDescent="0.25">
      <c r="A21" s="2" t="s">
        <v>56</v>
      </c>
      <c r="B21" s="2" t="s">
        <v>57</v>
      </c>
      <c r="C21" s="7">
        <v>2200</v>
      </c>
      <c r="D21" s="7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SHANMUKASAI T</dc:creator>
  <cp:lastModifiedBy>SHANMUKASAI T</cp:lastModifiedBy>
  <dcterms:created xsi:type="dcterms:W3CDTF">2026-05-26T16:02:31Z</dcterms:created>
  <dcterms:modified xsi:type="dcterms:W3CDTF">2026-05-26T16:53:29Z</dcterms:modified>
</cp:coreProperties>
</file>