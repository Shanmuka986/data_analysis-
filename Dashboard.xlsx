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
    </mc:Choice>
  </mc:AlternateContent>
  <xr:revisionPtr revIDLastSave="0" documentId="13_ncr:1_{833A3AA3-D8DF-49A2-BEE8-D8ED0057F9BC}" xr6:coauthVersionLast="47" xr6:coauthVersionMax="47" xr10:uidLastSave="{00000000-0000-0000-0000-000000000000}"/>
  <bookViews>
    <workbookView xWindow="-120" yWindow="-120" windowWidth="20730" windowHeight="11040" activeTab="1" xr2:uid="{EC849D2F-24FD-41D3-9A26-9907918921D8}"/>
  </bookViews>
  <sheets>
    <sheet name="PivotTables" sheetId="2" r:id="rId1"/>
    <sheet name="Dashboard" sheetId="3" r:id="rId2"/>
    <sheet name="salesdata " sheetId="1" r:id="rId3"/>
  </sheets>
  <definedNames>
    <definedName name="NativeTimeline_Date">#N/A</definedName>
    <definedName name="Slicer_Category">#N/A</definedName>
    <definedName name="Slicer_Customer_Type">#N/A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6" i="3" l="1"/>
  <c r="Z5" i="3"/>
  <c r="Z4" i="3"/>
  <c r="Z3" i="3"/>
  <c r="Z2" i="3"/>
  <c r="I22" i="1"/>
</calcChain>
</file>

<file path=xl/sharedStrings.xml><?xml version="1.0" encoding="utf-8"?>
<sst xmlns="http://schemas.openxmlformats.org/spreadsheetml/2006/main" count="157" uniqueCount="41">
  <si>
    <t>Order_ID</t>
  </si>
  <si>
    <t>Date</t>
  </si>
  <si>
    <t>Region</t>
  </si>
  <si>
    <t>Salesperson</t>
  </si>
  <si>
    <t>Product</t>
  </si>
  <si>
    <t>Category</t>
  </si>
  <si>
    <t>Units</t>
  </si>
  <si>
    <t>Unit_Price</t>
  </si>
  <si>
    <t>Sales</t>
  </si>
  <si>
    <t>Target</t>
  </si>
  <si>
    <t>North</t>
  </si>
  <si>
    <t>Arun</t>
  </si>
  <si>
    <t>Laptop</t>
  </si>
  <si>
    <t>Electronics</t>
  </si>
  <si>
    <t>South</t>
  </si>
  <si>
    <t>Priya</t>
  </si>
  <si>
    <t>Mobile</t>
  </si>
  <si>
    <t>East</t>
  </si>
  <si>
    <t>Rahul</t>
  </si>
  <si>
    <t>Chair</t>
  </si>
  <si>
    <t>Furniture</t>
  </si>
  <si>
    <t>West</t>
  </si>
  <si>
    <t>Sneha</t>
  </si>
  <si>
    <t>Table</t>
  </si>
  <si>
    <t>Printer</t>
  </si>
  <si>
    <t>Sofa</t>
  </si>
  <si>
    <t>Profit</t>
  </si>
  <si>
    <t>Customer_Type</t>
  </si>
  <si>
    <t>New</t>
  </si>
  <si>
    <t>Existing</t>
  </si>
  <si>
    <t>Grand Total</t>
  </si>
  <si>
    <t>Sum of Sales</t>
  </si>
  <si>
    <t>Sum of Profit</t>
  </si>
  <si>
    <t>Sum of Units</t>
  </si>
  <si>
    <t>Region Wise Sales</t>
  </si>
  <si>
    <t>Category Wise Sales</t>
  </si>
  <si>
    <t>Salesperson Performance</t>
  </si>
  <si>
    <t>Product Performance</t>
  </si>
  <si>
    <t>Customer Analysis</t>
  </si>
  <si>
    <t>Monthly Sales Trend</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</si>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</sst>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Red]&quot;₹&quot;\ #,##0.00"/>
  </numFmts>
  <fonts count="4" x14ac:knownFonts="1">
    <font>
      <sz val="11"/>
      <color theme="1"/>
      <name val="Calibri"/>
      <family val="2"/>
      <scheme val="minor"/>
    </font>
    <font>
      <b/>
      <sz val="11"/>
      <color theme="1"/>
      <name val="Calibri"/>
      <family val="2"/>
      <scheme val="minor"/>
    </font>
    <font>
      <b/>
      <sz val="16"/>
      <color theme="1"/>
      <name val="Calibri"/>
      <family val="2"/>
      <scheme val="minor"/>
    </font>
    <font>
      <b/>
      <sz val="27"/>
      <color rgb="FFFFFFFF"/>
      <name val="Segoe UI"/>
      <family val="2"/>
    </font>
  </fonts>
  <fills count="3">
    <fill>
      <patternFill patternType="none"/>
    </fill>
    <fill>
      <patternFill patternType="gray125"/>
    </fill>
    <fill>
      <patternFill patternType="solid">
        <fgColor rgb="FF062B5B"/>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2" borderId="0" xfId="0" applyFill="1"/>
    <xf numFmtId="0" fontId="0" fillId="2" borderId="0" xfId="0" applyFill="1" applyAlignment="1">
      <alignment horizontal="left" indent="4"/>
    </xf>
    <xf numFmtId="0" fontId="0" fillId="2" borderId="0" xfId="0" applyFill="1" applyAlignment="1">
      <alignment horizontal="left" indent="18"/>
    </xf>
    <xf numFmtId="164" fontId="0" fillId="2" borderId="0" xfId="0" applyNumberFormat="1" applyFill="1"/>
    <xf numFmtId="164" fontId="0" fillId="0" borderId="0" xfId="0" applyNumberFormat="1"/>
    <xf numFmtId="10" fontId="0" fillId="2" borderId="0" xfId="0" applyNumberFormat="1" applyFill="1"/>
    <xf numFmtId="0" fontId="2" fillId="0" borderId="0" xfId="0" applyFont="1" applyAlignment="1">
      <alignment horizontal="center"/>
    </xf>
    <xf numFmtId="0" fontId="0" fillId="0" borderId="0" xfId="0"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7">
    <dxf>
      <fill>
        <patternFill patternType="solid">
          <fgColor theme="1" tint="4.9989318521683403E-2"/>
        </patternFill>
      </fill>
    </dxf>
    <dxf>
      <fill>
        <patternFill>
          <fgColor rgb="FF0A84FF"/>
        </patternFill>
      </fill>
    </dxf>
    <dxf>
      <fill>
        <patternFill>
          <fgColor rgb="FF021B49"/>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4" defaultTableStyle="TableStyleMedium2" defaultPivotStyle="PivotStyleLight16">
    <tableStyle name="Slicer Style 1" pivot="0" table="0" count="1" xr9:uid="{741CAB48-08F4-4AB7-ADC7-C3CB57439BDD}"/>
    <tableStyle name="Slicer Style 2" pivot="0" table="0" count="1" xr9:uid="{0E1D280C-270E-470B-BFF9-F9B520F3550C}">
      <tableStyleElement type="wholeTable" dxfId="2"/>
    </tableStyle>
    <tableStyle name="Slicer Style 3" pivot="0" table="0" count="4" xr9:uid="{2EE704B4-B561-4A00-B785-A9799B3047C1}">
      <tableStyleElement type="headerRow" dxfId="1"/>
    </tableStyle>
    <tableStyle name="Slicer Style 4" pivot="0" table="0" count="1" xr9:uid="{C907B86A-BD95-4538-9A17-F35CDB05BBBA}">
      <tableStyleElement type="headerRow" dxfId="0"/>
    </tableStyle>
  </tableStyles>
  <colors>
    <mruColors>
      <color rgb="FFFFFFFF"/>
      <color rgb="FF6C63FF"/>
      <color rgb="FF00D084"/>
      <color rgb="FF0A84FF"/>
      <color rgb="FF021B49"/>
      <color rgb="FFFFF3E0"/>
      <color rgb="FFE8F5E9"/>
      <color rgb="FFFF9800"/>
      <color rgb="FFED7D31"/>
      <color rgb="FF0A3D91"/>
    </mruColors>
  </colors>
  <extLst>
    <ext xmlns:x14="http://schemas.microsoft.com/office/spreadsheetml/2009/9/main" uri="{46F421CA-312F-682f-3DD2-61675219B42D}">
      <x14:dxfs count="3">
        <dxf>
          <fill>
            <patternFill>
              <fgColor rgb="FFFFFFFF"/>
            </patternFill>
          </fill>
        </dxf>
        <dxf>
          <fill>
            <patternFill>
              <fgColor rgb="FF6C63FF"/>
            </patternFill>
          </fill>
        </dxf>
        <dxf>
          <fill>
            <patternFill>
              <fgColor rgb="FF00D084"/>
            </patternFill>
          </fill>
        </dxf>
      </x14:dxfs>
    </ext>
    <ext xmlns:x14="http://schemas.microsoft.com/office/spreadsheetml/2009/9/main" uri="{EB79DEF2-80B8-43e5-95BD-54CBDDF9020C}">
      <x14:slicerStyles defaultSlicerStyle="Slicer Style 3">
        <x14:slicerStyle name="Slicer Style 1">
          <x14:slicerStyleElements/>
        </x14:slicerStyle>
        <x14:slicerStyle name="Slicer Style 2"/>
        <x14:slicerStyle name="Slicer Style 3">
          <x14:slicerStyleElements>
            <x14:slicerStyleElement type="unselectedItemWithData" dxfId="0"/>
            <x14:slicerStyleElement type="selectedItemWithData" dxfId="2"/>
            <x14:slicerStyleElement type="hoveredSelectedItemWithData" dxfId="1"/>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A8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8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8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PivotTables!$C$5</c:f>
              <c:strCache>
                <c:ptCount val="1"/>
                <c:pt idx="0">
                  <c:v>Total</c:v>
                </c:pt>
              </c:strCache>
            </c:strRef>
          </c:tx>
          <c:spPr>
            <a:solidFill>
              <a:srgbClr val="0A84FF"/>
            </a:solidFill>
            <a:ln>
              <a:noFill/>
            </a:ln>
            <a:effectLst/>
          </c:spPr>
          <c:invertIfNegative val="0"/>
          <c:cat>
            <c:strRef>
              <c:f>PivotTables!$B$6:$B$10</c:f>
              <c:strCache>
                <c:ptCount val="4"/>
                <c:pt idx="0">
                  <c:v>East</c:v>
                </c:pt>
                <c:pt idx="1">
                  <c:v>North</c:v>
                </c:pt>
                <c:pt idx="2">
                  <c:v>South</c:v>
                </c:pt>
                <c:pt idx="3">
                  <c:v>West</c:v>
                </c:pt>
              </c:strCache>
            </c:strRef>
          </c:cat>
          <c:val>
            <c:numRef>
              <c:f>PivotTables!$C$6:$C$10</c:f>
              <c:numCache>
                <c:formatCode>General</c:formatCode>
                <c:ptCount val="4"/>
                <c:pt idx="0">
                  <c:v>333000</c:v>
                </c:pt>
                <c:pt idx="1">
                  <c:v>376000</c:v>
                </c:pt>
                <c:pt idx="2">
                  <c:v>287000</c:v>
                </c:pt>
                <c:pt idx="3">
                  <c:v>251000</c:v>
                </c:pt>
              </c:numCache>
            </c:numRef>
          </c:val>
          <c:extLst>
            <c:ext xmlns:c16="http://schemas.microsoft.com/office/drawing/2014/chart" uri="{C3380CC4-5D6E-409C-BE32-E72D297353CC}">
              <c16:uniqueId val="{00000000-30EB-45B3-BE2F-B2B7458E2C76}"/>
            </c:ext>
          </c:extLst>
        </c:ser>
        <c:dLbls>
          <c:showLegendKey val="0"/>
          <c:showVal val="0"/>
          <c:showCatName val="0"/>
          <c:showSerName val="0"/>
          <c:showPercent val="0"/>
          <c:showBubbleSize val="0"/>
        </c:dLbls>
        <c:gapWidth val="219"/>
        <c:overlap val="-27"/>
        <c:axId val="977769631"/>
        <c:axId val="977786431"/>
      </c:barChart>
      <c:catAx>
        <c:axId val="97776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86431"/>
        <c:crosses val="autoZero"/>
        <c:auto val="1"/>
        <c:lblAlgn val="ctr"/>
        <c:lblOffset val="100"/>
        <c:noMultiLvlLbl val="0"/>
      </c:catAx>
      <c:valAx>
        <c:axId val="977786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6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84FF"/>
          </a:solidFill>
          <a:ln w="19050">
            <a:solidFill>
              <a:schemeClr val="lt1"/>
            </a:solidFill>
          </a:ln>
          <a:effectLst/>
        </c:spPr>
      </c:pivotFmt>
      <c:pivotFmt>
        <c:idx val="2"/>
        <c:spPr>
          <a:solidFill>
            <a:srgbClr val="00D084"/>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A84FF"/>
          </a:solidFill>
          <a:ln w="19050">
            <a:solidFill>
              <a:schemeClr val="lt1"/>
            </a:solidFill>
          </a:ln>
          <a:effectLst/>
        </c:spPr>
      </c:pivotFmt>
      <c:pivotFmt>
        <c:idx val="5"/>
        <c:spPr>
          <a:solidFill>
            <a:srgbClr val="00D08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A84FF"/>
          </a:solidFill>
          <a:ln w="19050">
            <a:solidFill>
              <a:schemeClr val="lt1"/>
            </a:solidFill>
          </a:ln>
          <a:effectLst/>
        </c:spPr>
      </c:pivotFmt>
      <c:pivotFmt>
        <c:idx val="8"/>
        <c:spPr>
          <a:solidFill>
            <a:srgbClr val="00D084"/>
          </a:solidFill>
          <a:ln w="19050">
            <a:solidFill>
              <a:schemeClr val="lt1"/>
            </a:solidFill>
          </a:ln>
          <a:effectLst/>
        </c:spPr>
      </c:pivotFmt>
    </c:pivotFmts>
    <c:plotArea>
      <c:layout/>
      <c:doughnutChart>
        <c:varyColors val="1"/>
        <c:ser>
          <c:idx val="0"/>
          <c:order val="0"/>
          <c:tx>
            <c:strRef>
              <c:f>PivotTables!$F$5</c:f>
              <c:strCache>
                <c:ptCount val="1"/>
                <c:pt idx="0">
                  <c:v>Total</c:v>
                </c:pt>
              </c:strCache>
            </c:strRef>
          </c:tx>
          <c:dPt>
            <c:idx val="0"/>
            <c:bubble3D val="0"/>
            <c:spPr>
              <a:solidFill>
                <a:srgbClr val="0A84FF"/>
              </a:solidFill>
              <a:ln w="19050">
                <a:solidFill>
                  <a:schemeClr val="lt1"/>
                </a:solidFill>
              </a:ln>
              <a:effectLst/>
            </c:spPr>
            <c:extLst>
              <c:ext xmlns:c16="http://schemas.microsoft.com/office/drawing/2014/chart" uri="{C3380CC4-5D6E-409C-BE32-E72D297353CC}">
                <c16:uniqueId val="{00000001-5891-4579-B165-4812AEF4B35F}"/>
              </c:ext>
            </c:extLst>
          </c:dPt>
          <c:dPt>
            <c:idx val="1"/>
            <c:bubble3D val="0"/>
            <c:spPr>
              <a:solidFill>
                <a:srgbClr val="00D084"/>
              </a:solidFill>
              <a:ln w="19050">
                <a:solidFill>
                  <a:schemeClr val="lt1"/>
                </a:solidFill>
              </a:ln>
              <a:effectLst/>
            </c:spPr>
            <c:extLst>
              <c:ext xmlns:c16="http://schemas.microsoft.com/office/drawing/2014/chart" uri="{C3380CC4-5D6E-409C-BE32-E72D297353CC}">
                <c16:uniqueId val="{00000003-5891-4579-B165-4812AEF4B35F}"/>
              </c:ext>
            </c:extLst>
          </c:dPt>
          <c:cat>
            <c:strRef>
              <c:f>PivotTables!$E$6:$E$8</c:f>
              <c:strCache>
                <c:ptCount val="2"/>
                <c:pt idx="0">
                  <c:v>Electronics</c:v>
                </c:pt>
                <c:pt idx="1">
                  <c:v>Furniture</c:v>
                </c:pt>
              </c:strCache>
            </c:strRef>
          </c:cat>
          <c:val>
            <c:numRef>
              <c:f>PivotTables!$F$6:$F$8</c:f>
              <c:numCache>
                <c:formatCode>General</c:formatCode>
                <c:ptCount val="2"/>
                <c:pt idx="0">
                  <c:v>948000</c:v>
                </c:pt>
                <c:pt idx="1">
                  <c:v>299000</c:v>
                </c:pt>
              </c:numCache>
            </c:numRef>
          </c:val>
          <c:extLst>
            <c:ext xmlns:c16="http://schemas.microsoft.com/office/drawing/2014/chart" uri="{C3380CC4-5D6E-409C-BE32-E72D297353CC}">
              <c16:uniqueId val="{00000004-5891-4579-B165-4812AEF4B3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[Dashboard.xlsx]PivotTables!PivotTable6</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D08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D08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D08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PivotTables!$J$18</c:f>
              <c:strCache>
                <c:ptCount val="1"/>
                <c:pt idx="0">
                  <c:v>Total</c:v>
                </c:pt>
              </c:strCache>
            </c:strRef>
          </c:tx>
          <c:spPr>
            <a:ln w="28575" cap="rnd">
              <a:solidFill>
                <a:srgbClr val="00D084"/>
              </a:solidFill>
              <a:round/>
            </a:ln>
            <a:effectLst/>
          </c:spPr>
          <c:marker>
            <c:symbol val="circle"/>
            <c:size val="5"/>
            <c:spPr>
              <a:solidFill>
                <a:schemeClr val="accent1"/>
              </a:solidFill>
              <a:ln w="9525">
                <a:solidFill>
                  <a:schemeClr val="accent1"/>
                </a:solidFill>
              </a:ln>
              <a:effectLst/>
            </c:spPr>
          </c:marker>
          <c:cat>
            <c:strRef>
              <c:f>PivotTables!$I$19:$I$39</c:f>
              <c:strCache>
                <c:ptCount val="20"/>
                <c:pt idx="0">
                  <c:v>01-Jan-26</c:v>
                </c:pt>
                <c:pt idx="1">
                  <c:v>02-Jan-26</c:v>
                </c:pt>
                <c:pt idx="2">
                  <c:v>03-Jan-26</c:v>
                </c:pt>
                <c:pt idx="3">
                  <c:v>04-Jan-26</c:v>
                </c:pt>
                <c:pt idx="4">
                  <c:v>05-Jan-26</c:v>
                </c:pt>
                <c:pt idx="5">
                  <c:v>06-Jan-26</c:v>
                </c:pt>
                <c:pt idx="6">
                  <c:v>07-Jan-26</c:v>
                </c:pt>
                <c:pt idx="7">
                  <c:v>08-Jan-26</c:v>
                </c:pt>
                <c:pt idx="8">
                  <c:v>09-Jan-26</c:v>
                </c:pt>
                <c:pt idx="9">
                  <c:v>10-Jan-26</c:v>
                </c:pt>
                <c:pt idx="10">
                  <c:v>11-Jan-26</c:v>
                </c:pt>
                <c:pt idx="11">
                  <c:v>12-Jan-26</c:v>
                </c:pt>
                <c:pt idx="12">
                  <c:v>13-Jan-26</c:v>
                </c:pt>
                <c:pt idx="13">
                  <c:v>14-Jan-26</c:v>
                </c:pt>
                <c:pt idx="14">
                  <c:v>15-Jan-26</c:v>
                </c:pt>
                <c:pt idx="15">
                  <c:v>16-Jan-26</c:v>
                </c:pt>
                <c:pt idx="16">
                  <c:v>17-Jan-26</c:v>
                </c:pt>
                <c:pt idx="17">
                  <c:v>18-Jan-26</c:v>
                </c:pt>
                <c:pt idx="18">
                  <c:v>19-Jan-26</c:v>
                </c:pt>
                <c:pt idx="19">
                  <c:v>20-Jan-26</c:v>
                </c:pt>
              </c:strCache>
            </c:strRef>
          </c:cat>
          <c:val>
            <c:numRef>
              <c:f>PivotTables!$J$19:$J$39</c:f>
              <c:numCache>
                <c:formatCode>General</c:formatCode>
                <c:ptCount val="20"/>
                <c:pt idx="0">
                  <c:v>100000</c:v>
                </c:pt>
                <c:pt idx="1">
                  <c:v>100000</c:v>
                </c:pt>
                <c:pt idx="2">
                  <c:v>30000</c:v>
                </c:pt>
                <c:pt idx="3">
                  <c:v>28000</c:v>
                </c:pt>
                <c:pt idx="4">
                  <c:v>36000</c:v>
                </c:pt>
                <c:pt idx="5">
                  <c:v>50000</c:v>
                </c:pt>
                <c:pt idx="6">
                  <c:v>120000</c:v>
                </c:pt>
                <c:pt idx="7">
                  <c:v>24000</c:v>
                </c:pt>
                <c:pt idx="8">
                  <c:v>50000</c:v>
                </c:pt>
                <c:pt idx="9">
                  <c:v>21000</c:v>
                </c:pt>
                <c:pt idx="10">
                  <c:v>48000</c:v>
                </c:pt>
                <c:pt idx="11">
                  <c:v>25000</c:v>
                </c:pt>
                <c:pt idx="12">
                  <c:v>140000</c:v>
                </c:pt>
                <c:pt idx="13">
                  <c:v>36000</c:v>
                </c:pt>
                <c:pt idx="14">
                  <c:v>100000</c:v>
                </c:pt>
                <c:pt idx="15">
                  <c:v>24000</c:v>
                </c:pt>
                <c:pt idx="16">
                  <c:v>50000</c:v>
                </c:pt>
                <c:pt idx="17">
                  <c:v>80000</c:v>
                </c:pt>
                <c:pt idx="18">
                  <c:v>35000</c:v>
                </c:pt>
                <c:pt idx="19">
                  <c:v>150000</c:v>
                </c:pt>
              </c:numCache>
            </c:numRef>
          </c:val>
          <c:smooth val="0"/>
          <c:extLst>
            <c:ext xmlns:c16="http://schemas.microsoft.com/office/drawing/2014/chart" uri="{C3380CC4-5D6E-409C-BE32-E72D297353CC}">
              <c16:uniqueId val="{00000000-A91A-4D28-9D18-451F3D06B803}"/>
            </c:ext>
          </c:extLst>
        </c:ser>
        <c:dLbls>
          <c:showLegendKey val="0"/>
          <c:showVal val="0"/>
          <c:showCatName val="0"/>
          <c:showSerName val="0"/>
          <c:showPercent val="0"/>
          <c:showBubbleSize val="0"/>
        </c:dLbls>
        <c:marker val="1"/>
        <c:smooth val="0"/>
        <c:axId val="977826271"/>
        <c:axId val="977809951"/>
      </c:lineChart>
      <c:catAx>
        <c:axId val="97782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77809951"/>
        <c:crosses val="autoZero"/>
        <c:auto val="1"/>
        <c:lblAlgn val="ctr"/>
        <c:lblOffset val="100"/>
        <c:noMultiLvlLbl val="0"/>
      </c:catAx>
      <c:valAx>
        <c:axId val="97780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7782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[Dashboard.xlsx]PivotTables!PivotTable3</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D3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PivotTables!$I$5</c:f>
              <c:strCache>
                <c:ptCount val="1"/>
                <c:pt idx="0">
                  <c:v>Sum of Sales</c:v>
                </c:pt>
              </c:strCache>
            </c:strRef>
          </c:tx>
          <c:spPr>
            <a:solidFill>
              <a:schemeClr val="accent1"/>
            </a:solidFill>
            <a:ln>
              <a:noFill/>
            </a:ln>
            <a:effectLst/>
            <a:sp3d/>
          </c:spPr>
          <c:invertIfNegative val="0"/>
          <c:cat>
            <c:strRef>
              <c:f>PivotTables!$H$6:$H$10</c:f>
              <c:strCache>
                <c:ptCount val="4"/>
                <c:pt idx="0">
                  <c:v>Arun</c:v>
                </c:pt>
                <c:pt idx="1">
                  <c:v>Priya</c:v>
                </c:pt>
                <c:pt idx="2">
                  <c:v>Rahul</c:v>
                </c:pt>
                <c:pt idx="3">
                  <c:v>Sneha</c:v>
                </c:pt>
              </c:strCache>
            </c:strRef>
          </c:cat>
          <c:val>
            <c:numRef>
              <c:f>PivotTables!$I$6:$I$10</c:f>
              <c:numCache>
                <c:formatCode>General</c:formatCode>
                <c:ptCount val="4"/>
                <c:pt idx="0">
                  <c:v>376000</c:v>
                </c:pt>
                <c:pt idx="1">
                  <c:v>287000</c:v>
                </c:pt>
                <c:pt idx="2">
                  <c:v>333000</c:v>
                </c:pt>
                <c:pt idx="3">
                  <c:v>251000</c:v>
                </c:pt>
              </c:numCache>
            </c:numRef>
          </c:val>
          <c:extLst>
            <c:ext xmlns:c16="http://schemas.microsoft.com/office/drawing/2014/chart" uri="{C3380CC4-5D6E-409C-BE32-E72D297353CC}">
              <c16:uniqueId val="{00000000-8440-4257-867B-9B2D38123856}"/>
            </c:ext>
          </c:extLst>
        </c:ser>
        <c:ser>
          <c:idx val="1"/>
          <c:order val="1"/>
          <c:tx>
            <c:strRef>
              <c:f>PivotTables!$J$5</c:f>
              <c:strCache>
                <c:ptCount val="1"/>
                <c:pt idx="0">
                  <c:v>Sum of Profit</c:v>
                </c:pt>
              </c:strCache>
            </c:strRef>
          </c:tx>
          <c:spPr>
            <a:solidFill>
              <a:srgbClr val="ED7D31"/>
            </a:solidFill>
            <a:ln>
              <a:noFill/>
            </a:ln>
            <a:effectLst/>
            <a:sp3d/>
          </c:spPr>
          <c:invertIfNegative val="0"/>
          <c:cat>
            <c:strRef>
              <c:f>PivotTables!$H$6:$H$10</c:f>
              <c:strCache>
                <c:ptCount val="4"/>
                <c:pt idx="0">
                  <c:v>Arun</c:v>
                </c:pt>
                <c:pt idx="1">
                  <c:v>Priya</c:v>
                </c:pt>
                <c:pt idx="2">
                  <c:v>Rahul</c:v>
                </c:pt>
                <c:pt idx="3">
                  <c:v>Sneha</c:v>
                </c:pt>
              </c:strCache>
            </c:strRef>
          </c:cat>
          <c:val>
            <c:numRef>
              <c:f>PivotTables!$J$6:$J$10</c:f>
              <c:numCache>
                <c:formatCode>General</c:formatCode>
                <c:ptCount val="4"/>
                <c:pt idx="0">
                  <c:v>93000</c:v>
                </c:pt>
                <c:pt idx="1">
                  <c:v>64000</c:v>
                </c:pt>
                <c:pt idx="2">
                  <c:v>83000</c:v>
                </c:pt>
                <c:pt idx="3">
                  <c:v>66000</c:v>
                </c:pt>
              </c:numCache>
            </c:numRef>
          </c:val>
          <c:extLst>
            <c:ext xmlns:c16="http://schemas.microsoft.com/office/drawing/2014/chart" uri="{C3380CC4-5D6E-409C-BE32-E72D297353CC}">
              <c16:uniqueId val="{00000001-8440-4257-867B-9B2D38123856}"/>
            </c:ext>
          </c:extLst>
        </c:ser>
        <c:dLbls>
          <c:showLegendKey val="0"/>
          <c:showVal val="0"/>
          <c:showCatName val="0"/>
          <c:showSerName val="0"/>
          <c:showPercent val="0"/>
          <c:showBubbleSize val="0"/>
        </c:dLbls>
        <c:gapWidth val="150"/>
        <c:shape val="box"/>
        <c:axId val="643046463"/>
        <c:axId val="643061343"/>
        <c:axId val="0"/>
      </c:bar3DChart>
      <c:catAx>
        <c:axId val="64304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061343"/>
        <c:crosses val="autoZero"/>
        <c:auto val="1"/>
        <c:lblAlgn val="ctr"/>
        <c:lblOffset val="100"/>
        <c:noMultiLvlLbl val="0"/>
      </c:catAx>
      <c:valAx>
        <c:axId val="64306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04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[Dashboard.xlsx]PivotTables!PivotTable4</c:name>
    <c:fmtId val="3"/>
  </c:pivotSource>
  <c:chart>
    <c:autoTitleDeleted val="0"/>
    <c:pivotFmts>
      <c:pivotFmt>
        <c:idx val="0"/>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PivotTables!$C$18</c:f>
              <c:strCache>
                <c:ptCount val="1"/>
                <c:pt idx="0">
                  <c:v>Sum of Sales</c:v>
                </c:pt>
              </c:strCache>
            </c:strRef>
          </c:tx>
          <c:spPr>
            <a:solidFill>
              <a:srgbClr val="FF9800"/>
            </a:solidFill>
            <a:ln>
              <a:noFill/>
            </a:ln>
            <a:effectLst/>
          </c:spPr>
          <c:invertIfNegative val="0"/>
          <c:cat>
            <c:strRef>
              <c:f>PivotTables!$B$19:$B$25</c:f>
              <c:strCache>
                <c:ptCount val="6"/>
                <c:pt idx="0">
                  <c:v>Chair</c:v>
                </c:pt>
                <c:pt idx="1">
                  <c:v>Laptop</c:v>
                </c:pt>
                <c:pt idx="2">
                  <c:v>Mobile</c:v>
                </c:pt>
                <c:pt idx="3">
                  <c:v>Printer</c:v>
                </c:pt>
                <c:pt idx="4">
                  <c:v>Sofa</c:v>
                </c:pt>
                <c:pt idx="5">
                  <c:v>Table</c:v>
                </c:pt>
              </c:strCache>
            </c:strRef>
          </c:cat>
          <c:val>
            <c:numRef>
              <c:f>PivotTables!$C$19:$C$25</c:f>
              <c:numCache>
                <c:formatCode>General</c:formatCode>
                <c:ptCount val="6"/>
                <c:pt idx="0">
                  <c:v>90000</c:v>
                </c:pt>
                <c:pt idx="1">
                  <c:v>400000</c:v>
                </c:pt>
                <c:pt idx="2">
                  <c:v>440000</c:v>
                </c:pt>
                <c:pt idx="3">
                  <c:v>108000</c:v>
                </c:pt>
                <c:pt idx="4">
                  <c:v>125000</c:v>
                </c:pt>
                <c:pt idx="5">
                  <c:v>84000</c:v>
                </c:pt>
              </c:numCache>
            </c:numRef>
          </c:val>
          <c:extLst>
            <c:ext xmlns:c16="http://schemas.microsoft.com/office/drawing/2014/chart" uri="{C3380CC4-5D6E-409C-BE32-E72D297353CC}">
              <c16:uniqueId val="{00000000-57E8-47F6-ABEE-FB46DE10ABAC}"/>
            </c:ext>
          </c:extLst>
        </c:ser>
        <c:ser>
          <c:idx val="1"/>
          <c:order val="1"/>
          <c:tx>
            <c:strRef>
              <c:f>PivotTables!$D$18</c:f>
              <c:strCache>
                <c:ptCount val="1"/>
                <c:pt idx="0">
                  <c:v>Sum of Units</c:v>
                </c:pt>
              </c:strCache>
            </c:strRef>
          </c:tx>
          <c:spPr>
            <a:solidFill>
              <a:schemeClr val="accent2"/>
            </a:solidFill>
            <a:ln>
              <a:noFill/>
            </a:ln>
            <a:effectLst/>
          </c:spPr>
          <c:invertIfNegative val="0"/>
          <c:cat>
            <c:strRef>
              <c:f>PivotTables!$B$19:$B$25</c:f>
              <c:strCache>
                <c:ptCount val="6"/>
                <c:pt idx="0">
                  <c:v>Chair</c:v>
                </c:pt>
                <c:pt idx="1">
                  <c:v>Laptop</c:v>
                </c:pt>
                <c:pt idx="2">
                  <c:v>Mobile</c:v>
                </c:pt>
                <c:pt idx="3">
                  <c:v>Printer</c:v>
                </c:pt>
                <c:pt idx="4">
                  <c:v>Sofa</c:v>
                </c:pt>
                <c:pt idx="5">
                  <c:v>Table</c:v>
                </c:pt>
              </c:strCache>
            </c:strRef>
          </c:cat>
          <c:val>
            <c:numRef>
              <c:f>PivotTables!$D$19:$D$25</c:f>
              <c:numCache>
                <c:formatCode>General</c:formatCode>
                <c:ptCount val="6"/>
                <c:pt idx="0">
                  <c:v>30</c:v>
                </c:pt>
                <c:pt idx="1">
                  <c:v>8</c:v>
                </c:pt>
                <c:pt idx="2">
                  <c:v>22</c:v>
                </c:pt>
                <c:pt idx="3">
                  <c:v>9</c:v>
                </c:pt>
                <c:pt idx="4">
                  <c:v>5</c:v>
                </c:pt>
                <c:pt idx="5">
                  <c:v>12</c:v>
                </c:pt>
              </c:numCache>
            </c:numRef>
          </c:val>
          <c:extLst>
            <c:ext xmlns:c16="http://schemas.microsoft.com/office/drawing/2014/chart" uri="{C3380CC4-5D6E-409C-BE32-E72D297353CC}">
              <c16:uniqueId val="{00000001-57E8-47F6-ABEE-FB46DE10ABAC}"/>
            </c:ext>
          </c:extLst>
        </c:ser>
        <c:dLbls>
          <c:showLegendKey val="0"/>
          <c:showVal val="0"/>
          <c:showCatName val="0"/>
          <c:showSerName val="0"/>
          <c:showPercent val="0"/>
          <c:showBubbleSize val="0"/>
        </c:dLbls>
        <c:gapWidth val="182"/>
        <c:axId val="977823871"/>
        <c:axId val="977822431"/>
      </c:barChart>
      <c:catAx>
        <c:axId val="97782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822431"/>
        <c:crosses val="autoZero"/>
        <c:auto val="1"/>
        <c:lblAlgn val="ctr"/>
        <c:lblOffset val="100"/>
        <c:noMultiLvlLbl val="0"/>
      </c:catAx>
      <c:valAx>
        <c:axId val="97782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82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D08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D084"/>
          </a:solidFill>
          <a:ln w="19050">
            <a:solidFill>
              <a:schemeClr val="lt1"/>
            </a:solidFill>
          </a:ln>
          <a:effectLst/>
        </c:spPr>
      </c:pivotFmt>
      <c:pivotFmt>
        <c:idx val="2"/>
        <c:spPr>
          <a:solidFill>
            <a:srgbClr val="0A84FF"/>
          </a:solidFill>
          <a:ln w="19050">
            <a:solidFill>
              <a:schemeClr val="lt1"/>
            </a:solidFill>
          </a:ln>
          <a:effectLst/>
        </c:spPr>
      </c:pivotFmt>
      <c:pivotFmt>
        <c:idx val="3"/>
        <c:spPr>
          <a:solidFill>
            <a:srgbClr val="00D08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D084"/>
          </a:solidFill>
          <a:ln w="19050">
            <a:solidFill>
              <a:schemeClr val="lt1"/>
            </a:solidFill>
          </a:ln>
          <a:effectLst/>
        </c:spPr>
      </c:pivotFmt>
      <c:pivotFmt>
        <c:idx val="5"/>
        <c:spPr>
          <a:solidFill>
            <a:srgbClr val="0A84FF"/>
          </a:solidFill>
          <a:ln w="19050">
            <a:solidFill>
              <a:schemeClr val="lt1"/>
            </a:solidFill>
          </a:ln>
          <a:effectLst/>
        </c:spPr>
      </c:pivotFmt>
      <c:pivotFmt>
        <c:idx val="6"/>
        <c:spPr>
          <a:solidFill>
            <a:srgbClr val="00D08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D084"/>
          </a:solidFill>
          <a:ln w="19050">
            <a:solidFill>
              <a:schemeClr val="lt1"/>
            </a:solidFill>
          </a:ln>
          <a:effectLst/>
        </c:spPr>
      </c:pivotFmt>
      <c:pivotFmt>
        <c:idx val="8"/>
        <c:spPr>
          <a:solidFill>
            <a:srgbClr val="0A84FF"/>
          </a:solidFill>
          <a:ln w="19050">
            <a:solidFill>
              <a:schemeClr val="lt1"/>
            </a:solidFill>
          </a:ln>
          <a:effectLst/>
        </c:spPr>
      </c:pivotFmt>
    </c:pivotFmts>
    <c:plotArea>
      <c:layout/>
      <c:doughnutChart>
        <c:varyColors val="1"/>
        <c:ser>
          <c:idx val="0"/>
          <c:order val="0"/>
          <c:tx>
            <c:strRef>
              <c:f>PivotTables!$G$18</c:f>
              <c:strCache>
                <c:ptCount val="1"/>
                <c:pt idx="0">
                  <c:v>Total</c:v>
                </c:pt>
              </c:strCache>
            </c:strRef>
          </c:tx>
          <c:spPr>
            <a:solidFill>
              <a:srgbClr val="00D084"/>
            </a:solidFill>
          </c:spPr>
          <c:dPt>
            <c:idx val="0"/>
            <c:bubble3D val="0"/>
            <c:spPr>
              <a:solidFill>
                <a:srgbClr val="00D084"/>
              </a:solidFill>
              <a:ln w="19050">
                <a:solidFill>
                  <a:schemeClr val="lt1"/>
                </a:solidFill>
              </a:ln>
              <a:effectLst/>
            </c:spPr>
            <c:extLst>
              <c:ext xmlns:c16="http://schemas.microsoft.com/office/drawing/2014/chart" uri="{C3380CC4-5D6E-409C-BE32-E72D297353CC}">
                <c16:uniqueId val="{00000001-A271-4702-AE86-EA02AD227B27}"/>
              </c:ext>
            </c:extLst>
          </c:dPt>
          <c:dPt>
            <c:idx val="1"/>
            <c:bubble3D val="0"/>
            <c:spPr>
              <a:solidFill>
                <a:srgbClr val="0A84FF"/>
              </a:solidFill>
              <a:ln w="19050">
                <a:solidFill>
                  <a:schemeClr val="lt1"/>
                </a:solidFill>
              </a:ln>
              <a:effectLst/>
            </c:spPr>
            <c:extLst>
              <c:ext xmlns:c16="http://schemas.microsoft.com/office/drawing/2014/chart" uri="{C3380CC4-5D6E-409C-BE32-E72D297353CC}">
                <c16:uniqueId val="{00000003-A271-4702-AE86-EA02AD227B27}"/>
              </c:ext>
            </c:extLst>
          </c:dPt>
          <c:cat>
            <c:strRef>
              <c:f>PivotTables!$F$19:$F$21</c:f>
              <c:strCache>
                <c:ptCount val="2"/>
                <c:pt idx="0">
                  <c:v>Existing</c:v>
                </c:pt>
                <c:pt idx="1">
                  <c:v>New</c:v>
                </c:pt>
              </c:strCache>
            </c:strRef>
          </c:cat>
          <c:val>
            <c:numRef>
              <c:f>PivotTables!$G$19:$G$21</c:f>
              <c:numCache>
                <c:formatCode>General</c:formatCode>
                <c:ptCount val="2"/>
                <c:pt idx="0">
                  <c:v>538000</c:v>
                </c:pt>
                <c:pt idx="1">
                  <c:v>709000</c:v>
                </c:pt>
              </c:numCache>
            </c:numRef>
          </c:val>
          <c:extLst>
            <c:ext xmlns:c16="http://schemas.microsoft.com/office/drawing/2014/chart" uri="{C3380CC4-5D6E-409C-BE32-E72D297353CC}">
              <c16:uniqueId val="{00000004-A271-4702-AE86-EA02AD227B27}"/>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2.svg"/><Relationship Id="rId26" Type="http://schemas.openxmlformats.org/officeDocument/2006/relationships/image" Target="../media/image20.sv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png"/><Relationship Id="rId25" Type="http://schemas.openxmlformats.org/officeDocument/2006/relationships/image" Target="../media/image19.png"/><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image" Target="../media/image14.svg"/><Relationship Id="rId29" Type="http://schemas.openxmlformats.org/officeDocument/2006/relationships/image" Target="../media/image2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image" Target="../media/image17.png"/><Relationship Id="rId28" Type="http://schemas.openxmlformats.org/officeDocument/2006/relationships/image" Target="../media/image22.svg"/><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6.svg"/><Relationship Id="rId27" Type="http://schemas.openxmlformats.org/officeDocument/2006/relationships/image" Target="../media/image21.png"/><Relationship Id="rId30" Type="http://schemas.openxmlformats.org/officeDocument/2006/relationships/image" Target="../media/image24.svg"/></Relationships>
</file>

<file path=xl/drawings/drawing1.xml><?xml version="1.0" encoding="utf-8"?>
<xdr:wsDr xmlns:xdr="http://schemas.openxmlformats.org/drawingml/2006/spreadsheetDrawing" xmlns:a="http://schemas.openxmlformats.org/drawingml/2006/main">
  <xdr:twoCellAnchor editAs="oneCell">
    <xdr:from>
      <xdr:col>11</xdr:col>
      <xdr:colOff>190500</xdr:colOff>
      <xdr:row>9</xdr:row>
      <xdr:rowOff>19050</xdr:rowOff>
    </xdr:from>
    <xdr:to>
      <xdr:col>13</xdr:col>
      <xdr:colOff>800100</xdr:colOff>
      <xdr:row>15</xdr:row>
      <xdr:rowOff>104775</xdr:rowOff>
    </xdr:to>
    <mc:AlternateContent xmlns:mc="http://schemas.openxmlformats.org/markup-compatibility/2006">
      <mc:Choice xmlns:a14="http://schemas.microsoft.com/office/drawing/2010/main" Requires="a14">
        <xdr:graphicFrame macro="">
          <xdr:nvGraphicFramePr>
            <xdr:cNvPr id="12" name="Customer_Type">
              <a:extLst>
                <a:ext uri="{FF2B5EF4-FFF2-40B4-BE49-F238E27FC236}">
                  <a16:creationId xmlns:a16="http://schemas.microsoft.com/office/drawing/2014/main" id="{9020FC2F-2E2B-BC90-02CA-231830E9F2DE}"/>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9334500" y="1809750"/>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3</xdr:col>
      <xdr:colOff>695325</xdr:colOff>
      <xdr:row>5</xdr:row>
      <xdr:rowOff>9525</xdr:rowOff>
    </xdr:from>
    <xdr:ext cx="2276475" cy="405432"/>
    <xdr:sp macro="" textlink="Dashboard!Z2">
      <xdr:nvSpPr>
        <xdr:cNvPr id="16" name="TextBox 15">
          <a:extLst>
            <a:ext uri="{FF2B5EF4-FFF2-40B4-BE49-F238E27FC236}">
              <a16:creationId xmlns:a16="http://schemas.microsoft.com/office/drawing/2014/main" id="{30B18DDE-83E2-6A6D-3FBE-6D73A77B2D71}"/>
            </a:ext>
          </a:extLst>
        </xdr:cNvPr>
        <xdr:cNvSpPr txBox="1"/>
      </xdr:nvSpPr>
      <xdr:spPr>
        <a:xfrm>
          <a:off x="3505200" y="962025"/>
          <a:ext cx="2276475"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23DB759-79AC-4AAF-A35C-780DB1E4B8D2}" type="TxLink">
            <a:rPr lang="en-US" sz="2000" b="0" i="0" u="none" strike="noStrike">
              <a:solidFill>
                <a:srgbClr val="000000"/>
              </a:solidFill>
              <a:latin typeface="Calibri"/>
              <a:ea typeface="Calibri"/>
              <a:cs typeface="Calibri"/>
            </a:rPr>
            <a:pPr/>
            <a:t>₹ 12,47,000.00</a:t>
          </a:fld>
          <a:endParaRPr lang="en-IN" sz="2000"/>
        </a:p>
      </xdr:txBody>
    </xdr:sp>
    <xdr:clientData/>
  </xdr:oneCellAnchor>
  <xdr:twoCellAnchor>
    <xdr:from>
      <xdr:col>0</xdr:col>
      <xdr:colOff>93649</xdr:colOff>
      <xdr:row>0</xdr:row>
      <xdr:rowOff>1</xdr:rowOff>
    </xdr:from>
    <xdr:to>
      <xdr:col>3</xdr:col>
      <xdr:colOff>11133</xdr:colOff>
      <xdr:row>24</xdr:row>
      <xdr:rowOff>34637</xdr:rowOff>
    </xdr:to>
    <xdr:sp macro="" textlink="">
      <xdr:nvSpPr>
        <xdr:cNvPr id="3" name="Rectangle: Rounded Corners 2">
          <a:extLst>
            <a:ext uri="{FF2B5EF4-FFF2-40B4-BE49-F238E27FC236}">
              <a16:creationId xmlns:a16="http://schemas.microsoft.com/office/drawing/2014/main" id="{33DDBB23-F5CF-C069-FA9F-3503AF55540A}"/>
            </a:ext>
          </a:extLst>
        </xdr:cNvPr>
        <xdr:cNvSpPr/>
      </xdr:nvSpPr>
      <xdr:spPr>
        <a:xfrm>
          <a:off x="93649" y="1"/>
          <a:ext cx="2723029" cy="4606636"/>
        </a:xfrm>
        <a:prstGeom prst="roundRect">
          <a:avLst/>
        </a:prstGeom>
        <a:solidFill>
          <a:srgbClr val="021B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0" baseline="0"/>
            <a:t>               </a:t>
          </a:r>
        </a:p>
        <a:p>
          <a:pPr algn="l"/>
          <a:r>
            <a:rPr lang="en-IN" sz="1100" b="0" baseline="0"/>
            <a:t>                   </a:t>
          </a:r>
          <a:r>
            <a:rPr lang="en-IN" sz="1400" b="1">
              <a:latin typeface="Segoe UI" panose="020B0502040204020203" pitchFamily="34" charset="0"/>
              <a:cs typeface="Segoe UI" panose="020B0502040204020203" pitchFamily="34" charset="0"/>
            </a:rPr>
            <a:t>SALES</a:t>
          </a:r>
          <a:r>
            <a:rPr lang="en-IN" sz="1400" b="1"/>
            <a:t> </a:t>
          </a:r>
          <a:r>
            <a:rPr lang="en-IN" sz="1400" b="1">
              <a:latin typeface="Segoe UI" panose="020B0502040204020203" pitchFamily="34" charset="0"/>
              <a:cs typeface="Segoe UI" panose="020B0502040204020203" pitchFamily="34" charset="0"/>
            </a:rPr>
            <a:t>DASHBOARD</a:t>
          </a:r>
        </a:p>
      </xdr:txBody>
    </xdr:sp>
    <xdr:clientData/>
  </xdr:twoCellAnchor>
  <xdr:twoCellAnchor>
    <xdr:from>
      <xdr:col>12</xdr:col>
      <xdr:colOff>183981</xdr:colOff>
      <xdr:row>3</xdr:row>
      <xdr:rowOff>80071</xdr:rowOff>
    </xdr:from>
    <xdr:to>
      <xdr:col>15</xdr:col>
      <xdr:colOff>143231</xdr:colOff>
      <xdr:row>8</xdr:row>
      <xdr:rowOff>187036</xdr:rowOff>
    </xdr:to>
    <xdr:sp macro="" textlink="">
      <xdr:nvSpPr>
        <xdr:cNvPr id="5" name="Rectangle: Rounded Corners 4">
          <a:extLst>
            <a:ext uri="{FF2B5EF4-FFF2-40B4-BE49-F238E27FC236}">
              <a16:creationId xmlns:a16="http://schemas.microsoft.com/office/drawing/2014/main" id="{E3A9557E-32B7-79EE-67EB-8BC8DCFD74E0}"/>
            </a:ext>
          </a:extLst>
        </xdr:cNvPr>
        <xdr:cNvSpPr/>
      </xdr:nvSpPr>
      <xdr:spPr>
        <a:xfrm>
          <a:off x="14211708" y="651571"/>
          <a:ext cx="3699978" cy="1059465"/>
        </a:xfrm>
        <a:prstGeom prst="roundRect">
          <a:avLst/>
        </a:prstGeom>
        <a:solidFill>
          <a:srgbClr val="6C63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UNITS SOLD</a:t>
          </a:r>
        </a:p>
      </xdr:txBody>
    </xdr:sp>
    <xdr:clientData/>
  </xdr:twoCellAnchor>
  <xdr:twoCellAnchor>
    <xdr:from>
      <xdr:col>9</xdr:col>
      <xdr:colOff>202928</xdr:colOff>
      <xdr:row>3</xdr:row>
      <xdr:rowOff>66421</xdr:rowOff>
    </xdr:from>
    <xdr:to>
      <xdr:col>12</xdr:col>
      <xdr:colOff>162179</xdr:colOff>
      <xdr:row>8</xdr:row>
      <xdr:rowOff>173386</xdr:rowOff>
    </xdr:to>
    <xdr:sp macro="" textlink="">
      <xdr:nvSpPr>
        <xdr:cNvPr id="6" name="Rectangle: Rounded Corners 5">
          <a:extLst>
            <a:ext uri="{FF2B5EF4-FFF2-40B4-BE49-F238E27FC236}">
              <a16:creationId xmlns:a16="http://schemas.microsoft.com/office/drawing/2014/main" id="{011D74DA-11E5-A8D7-4A17-24F079A6FFC0}"/>
            </a:ext>
          </a:extLst>
        </xdr:cNvPr>
        <xdr:cNvSpPr/>
      </xdr:nvSpPr>
      <xdr:spPr>
        <a:xfrm>
          <a:off x="10489928" y="637921"/>
          <a:ext cx="3699978" cy="1059465"/>
        </a:xfrm>
        <a:prstGeom prst="roundRect">
          <a:avLst/>
        </a:prstGeom>
        <a:solidFill>
          <a:srgbClr val="FF98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               TOTAL PROFIT</a:t>
          </a:r>
        </a:p>
      </xdr:txBody>
    </xdr:sp>
    <xdr:clientData/>
  </xdr:twoCellAnchor>
  <xdr:twoCellAnchor>
    <xdr:from>
      <xdr:col>15</xdr:col>
      <xdr:colOff>212300</xdr:colOff>
      <xdr:row>3</xdr:row>
      <xdr:rowOff>60511</xdr:rowOff>
    </xdr:from>
    <xdr:to>
      <xdr:col>18</xdr:col>
      <xdr:colOff>171551</xdr:colOff>
      <xdr:row>8</xdr:row>
      <xdr:rowOff>167476</xdr:rowOff>
    </xdr:to>
    <xdr:sp macro="" textlink="">
      <xdr:nvSpPr>
        <xdr:cNvPr id="8" name="Rectangle: Rounded Corners 7">
          <a:extLst>
            <a:ext uri="{FF2B5EF4-FFF2-40B4-BE49-F238E27FC236}">
              <a16:creationId xmlns:a16="http://schemas.microsoft.com/office/drawing/2014/main" id="{14CB195F-8BDC-589E-D642-2B45548D2FF8}"/>
            </a:ext>
          </a:extLst>
        </xdr:cNvPr>
        <xdr:cNvSpPr/>
      </xdr:nvSpPr>
      <xdr:spPr>
        <a:xfrm>
          <a:off x="17980755" y="632011"/>
          <a:ext cx="3699978" cy="1059465"/>
        </a:xfrm>
        <a:prstGeom prst="roundRect">
          <a:avLst/>
        </a:prstGeom>
        <a:solidFill>
          <a:srgbClr val="F4433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TARGET ACHIEVEMENT</a:t>
          </a:r>
        </a:p>
      </xdr:txBody>
    </xdr:sp>
    <xdr:clientData/>
  </xdr:twoCellAnchor>
  <xdr:twoCellAnchor>
    <xdr:from>
      <xdr:col>6</xdr:col>
      <xdr:colOff>164013</xdr:colOff>
      <xdr:row>3</xdr:row>
      <xdr:rowOff>49917</xdr:rowOff>
    </xdr:from>
    <xdr:to>
      <xdr:col>9</xdr:col>
      <xdr:colOff>123264</xdr:colOff>
      <xdr:row>8</xdr:row>
      <xdr:rowOff>156882</xdr:rowOff>
    </xdr:to>
    <xdr:sp macro="" textlink="">
      <xdr:nvSpPr>
        <xdr:cNvPr id="9" name="Rectangle: Rounded Corners 8">
          <a:extLst>
            <a:ext uri="{FF2B5EF4-FFF2-40B4-BE49-F238E27FC236}">
              <a16:creationId xmlns:a16="http://schemas.microsoft.com/office/drawing/2014/main" id="{FC92A0B9-20B2-1D15-1EAA-DEA290720592}"/>
            </a:ext>
          </a:extLst>
        </xdr:cNvPr>
        <xdr:cNvSpPr/>
      </xdr:nvSpPr>
      <xdr:spPr>
        <a:xfrm>
          <a:off x="6697042" y="621417"/>
          <a:ext cx="3690810" cy="1059465"/>
        </a:xfrm>
        <a:prstGeom prst="roundRect">
          <a:avLst/>
        </a:prstGeom>
        <a:solidFill>
          <a:srgbClr val="00D08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                TOTAL ORDERS</a:t>
          </a:r>
        </a:p>
      </xdr:txBody>
    </xdr:sp>
    <xdr:clientData/>
  </xdr:twoCellAnchor>
  <xdr:twoCellAnchor>
    <xdr:from>
      <xdr:col>3</xdr:col>
      <xdr:colOff>141601</xdr:colOff>
      <xdr:row>3</xdr:row>
      <xdr:rowOff>16299</xdr:rowOff>
    </xdr:from>
    <xdr:to>
      <xdr:col>6</xdr:col>
      <xdr:colOff>100853</xdr:colOff>
      <xdr:row>8</xdr:row>
      <xdr:rowOff>123264</xdr:rowOff>
    </xdr:to>
    <xdr:sp macro="" textlink="">
      <xdr:nvSpPr>
        <xdr:cNvPr id="4" name="Rectangle: Rounded Corners 3">
          <a:extLst>
            <a:ext uri="{FF2B5EF4-FFF2-40B4-BE49-F238E27FC236}">
              <a16:creationId xmlns:a16="http://schemas.microsoft.com/office/drawing/2014/main" id="{5F512E1C-635C-3570-A233-B83219DEDB23}"/>
            </a:ext>
          </a:extLst>
        </xdr:cNvPr>
        <xdr:cNvSpPr/>
      </xdr:nvSpPr>
      <xdr:spPr>
        <a:xfrm>
          <a:off x="2951476" y="587799"/>
          <a:ext cx="3702577" cy="1059465"/>
        </a:xfrm>
        <a:prstGeom prst="roundRect">
          <a:avLst/>
        </a:prstGeom>
        <a:solidFill>
          <a:srgbClr val="0A84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             TOTAL SALES   </a:t>
          </a:r>
        </a:p>
        <a:p>
          <a:pPr algn="l"/>
          <a:endParaRPr lang="en-IN" sz="2000" b="1">
            <a:solidFill>
              <a:schemeClr val="bg1"/>
            </a:solidFill>
          </a:endParaRPr>
        </a:p>
      </xdr:txBody>
    </xdr:sp>
    <xdr:clientData/>
  </xdr:twoCellAnchor>
  <xdr:twoCellAnchor>
    <xdr:from>
      <xdr:col>3</xdr:col>
      <xdr:colOff>834839</xdr:colOff>
      <xdr:row>5</xdr:row>
      <xdr:rowOff>110938</xdr:rowOff>
    </xdr:from>
    <xdr:to>
      <xdr:col>5</xdr:col>
      <xdr:colOff>682439</xdr:colOff>
      <xdr:row>7</xdr:row>
      <xdr:rowOff>120463</xdr:rowOff>
    </xdr:to>
    <xdr:sp macro="" textlink="Dashboard!Z2">
      <xdr:nvSpPr>
        <xdr:cNvPr id="17" name="TextBox 16">
          <a:extLst>
            <a:ext uri="{FF2B5EF4-FFF2-40B4-BE49-F238E27FC236}">
              <a16:creationId xmlns:a16="http://schemas.microsoft.com/office/drawing/2014/main" id="{6BC5D2FF-A36B-8A92-C95E-F036CDA62910}"/>
            </a:ext>
          </a:extLst>
        </xdr:cNvPr>
        <xdr:cNvSpPr txBox="1"/>
      </xdr:nvSpPr>
      <xdr:spPr>
        <a:xfrm>
          <a:off x="3636310" y="1063438"/>
          <a:ext cx="2335305" cy="390525"/>
        </a:xfrm>
        <a:prstGeom prst="rect">
          <a:avLst/>
        </a:prstGeom>
        <a:solidFill>
          <a:srgbClr val="0A84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000" b="1" i="0" u="none" strike="noStrike">
              <a:solidFill>
                <a:schemeClr val="bg1"/>
              </a:solidFill>
              <a:latin typeface="Calibri"/>
              <a:ea typeface="Calibri"/>
              <a:cs typeface="Calibri"/>
            </a:rPr>
            <a:t> </a:t>
          </a:r>
          <a:fld id="{B09A37DF-090B-4A15-B3F2-E15530DD5E1C}" type="TxLink">
            <a:rPr lang="en-US" sz="2000" b="1" i="0" u="none" strike="noStrike">
              <a:solidFill>
                <a:schemeClr val="bg1"/>
              </a:solidFill>
              <a:latin typeface="Calibri"/>
              <a:ea typeface="Calibri"/>
              <a:cs typeface="Calibri"/>
            </a:rPr>
            <a:pPr marL="0" indent="0" algn="l"/>
            <a:t>₹ 12,47,000.00</a:t>
          </a:fld>
          <a:endParaRPr lang="en-IN" sz="2000" b="1">
            <a:solidFill>
              <a:schemeClr val="bg1"/>
            </a:solidFill>
            <a:latin typeface="+mn-lt"/>
            <a:ea typeface="+mn-ea"/>
            <a:cs typeface="+mn-cs"/>
          </a:endParaRPr>
        </a:p>
      </xdr:txBody>
    </xdr:sp>
    <xdr:clientData/>
  </xdr:twoCellAnchor>
  <xdr:twoCellAnchor>
    <xdr:from>
      <xdr:col>7</xdr:col>
      <xdr:colOff>76200</xdr:colOff>
      <xdr:row>5</xdr:row>
      <xdr:rowOff>169985</xdr:rowOff>
    </xdr:from>
    <xdr:to>
      <xdr:col>8</xdr:col>
      <xdr:colOff>630116</xdr:colOff>
      <xdr:row>7</xdr:row>
      <xdr:rowOff>142875</xdr:rowOff>
    </xdr:to>
    <xdr:sp macro="" textlink="Dashboard!Z3">
      <xdr:nvSpPr>
        <xdr:cNvPr id="18" name="TextBox 17">
          <a:extLst>
            <a:ext uri="{FF2B5EF4-FFF2-40B4-BE49-F238E27FC236}">
              <a16:creationId xmlns:a16="http://schemas.microsoft.com/office/drawing/2014/main" id="{2605A705-F4A7-108F-094B-CE4739A0B91E}"/>
            </a:ext>
          </a:extLst>
        </xdr:cNvPr>
        <xdr:cNvSpPr txBox="1"/>
      </xdr:nvSpPr>
      <xdr:spPr>
        <a:xfrm>
          <a:off x="7877175" y="1122485"/>
          <a:ext cx="1801691" cy="353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000" b="1">
              <a:solidFill>
                <a:schemeClr val="bg1"/>
              </a:solidFill>
              <a:latin typeface="+mn-lt"/>
              <a:ea typeface="+mn-ea"/>
              <a:cs typeface="+mn-cs"/>
            </a:rPr>
            <a:t>          </a:t>
          </a:r>
          <a:fld id="{9AF73110-34D5-4EC5-9519-5AEBE14AFAAB}" type="TxLink">
            <a:rPr lang="en-US" sz="2000" b="1">
              <a:solidFill>
                <a:schemeClr val="bg1"/>
              </a:solidFill>
              <a:latin typeface="+mn-lt"/>
              <a:ea typeface="+mn-ea"/>
              <a:cs typeface="+mn-cs"/>
            </a:rPr>
            <a:pPr marL="0" indent="0" algn="l"/>
            <a:t>20</a:t>
          </a:fld>
          <a:endParaRPr lang="en-IN" sz="2000" b="1">
            <a:solidFill>
              <a:schemeClr val="bg1"/>
            </a:solidFill>
            <a:latin typeface="+mn-lt"/>
            <a:ea typeface="+mn-ea"/>
            <a:cs typeface="+mn-cs"/>
          </a:endParaRPr>
        </a:p>
      </xdr:txBody>
    </xdr:sp>
    <xdr:clientData/>
  </xdr:twoCellAnchor>
  <xdr:twoCellAnchor>
    <xdr:from>
      <xdr:col>9</xdr:col>
      <xdr:colOff>818030</xdr:colOff>
      <xdr:row>5</xdr:row>
      <xdr:rowOff>156882</xdr:rowOff>
    </xdr:from>
    <xdr:to>
      <xdr:col>11</xdr:col>
      <xdr:colOff>1053353</xdr:colOff>
      <xdr:row>7</xdr:row>
      <xdr:rowOff>145676</xdr:rowOff>
    </xdr:to>
    <xdr:sp macro="" textlink="Dashboard!Z4">
      <xdr:nvSpPr>
        <xdr:cNvPr id="2" name="TextBox 1">
          <a:extLst>
            <a:ext uri="{FF2B5EF4-FFF2-40B4-BE49-F238E27FC236}">
              <a16:creationId xmlns:a16="http://schemas.microsoft.com/office/drawing/2014/main" id="{BA2C69FE-B19D-53C1-F960-5F3AF55FFCFD}"/>
            </a:ext>
          </a:extLst>
        </xdr:cNvPr>
        <xdr:cNvSpPr txBox="1"/>
      </xdr:nvSpPr>
      <xdr:spPr>
        <a:xfrm>
          <a:off x="11082618" y="1109382"/>
          <a:ext cx="2723029"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prstMaterial="dkEdge"/>
        </a:bodyPr>
        <a:lstStyle/>
        <a:p>
          <a:r>
            <a:rPr lang="en-US" sz="2000" b="1" i="0" u="none" strike="noStrike">
              <a:solidFill>
                <a:schemeClr val="bg1"/>
              </a:solidFill>
              <a:latin typeface="Calibri"/>
              <a:ea typeface="Calibri"/>
              <a:cs typeface="Calibri"/>
            </a:rPr>
            <a:t>       </a:t>
          </a:r>
          <a:fld id="{0AA59FCA-F4FF-46EB-BAE2-914767A1AFE3}" type="TxLink">
            <a:rPr lang="en-US" sz="2000" b="1" i="0" u="none" strike="noStrike">
              <a:solidFill>
                <a:schemeClr val="bg1"/>
              </a:solidFill>
              <a:latin typeface="Calibri"/>
              <a:ea typeface="Calibri"/>
              <a:cs typeface="Calibri"/>
            </a:rPr>
            <a:t>₹ 3,06,000.00</a:t>
          </a:fld>
          <a:endParaRPr lang="en-IN" sz="2000" b="1">
            <a:solidFill>
              <a:schemeClr val="bg1"/>
            </a:solidFill>
          </a:endParaRPr>
        </a:p>
      </xdr:txBody>
    </xdr:sp>
    <xdr:clientData/>
  </xdr:twoCellAnchor>
  <xdr:twoCellAnchor>
    <xdr:from>
      <xdr:col>12</xdr:col>
      <xdr:colOff>918883</xdr:colOff>
      <xdr:row>5</xdr:row>
      <xdr:rowOff>156882</xdr:rowOff>
    </xdr:from>
    <xdr:to>
      <xdr:col>14</xdr:col>
      <xdr:colOff>537882</xdr:colOff>
      <xdr:row>7</xdr:row>
      <xdr:rowOff>123265</xdr:rowOff>
    </xdr:to>
    <xdr:sp macro="" textlink="Dashboard!Z5">
      <xdr:nvSpPr>
        <xdr:cNvPr id="7" name="TextBox 6">
          <a:extLst>
            <a:ext uri="{FF2B5EF4-FFF2-40B4-BE49-F238E27FC236}">
              <a16:creationId xmlns:a16="http://schemas.microsoft.com/office/drawing/2014/main" id="{B9D8E614-1031-9467-F20B-57C1AEFE61B1}"/>
            </a:ext>
          </a:extLst>
        </xdr:cNvPr>
        <xdr:cNvSpPr txBox="1"/>
      </xdr:nvSpPr>
      <xdr:spPr>
        <a:xfrm>
          <a:off x="14915030" y="1109382"/>
          <a:ext cx="2106705"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latin typeface="Calibri"/>
              <a:ea typeface="Calibri"/>
              <a:cs typeface="Calibri"/>
            </a:rPr>
            <a:t>             </a:t>
          </a:r>
          <a:fld id="{489F0EDB-D295-4251-BA27-5E6860279DCD}" type="TxLink">
            <a:rPr lang="en-US" sz="2000" b="1" i="0" u="none" strike="noStrike">
              <a:solidFill>
                <a:schemeClr val="bg1"/>
              </a:solidFill>
              <a:latin typeface="Calibri"/>
              <a:ea typeface="Calibri"/>
              <a:cs typeface="Calibri"/>
            </a:rPr>
            <a:t>86</a:t>
          </a:fld>
          <a:endParaRPr lang="en-IN" sz="2000" b="1">
            <a:solidFill>
              <a:schemeClr val="bg1"/>
            </a:solidFill>
          </a:endParaRPr>
        </a:p>
      </xdr:txBody>
    </xdr:sp>
    <xdr:clientData/>
  </xdr:twoCellAnchor>
  <xdr:twoCellAnchor>
    <xdr:from>
      <xdr:col>15</xdr:col>
      <xdr:colOff>762000</xdr:colOff>
      <xdr:row>5</xdr:row>
      <xdr:rowOff>123265</xdr:rowOff>
    </xdr:from>
    <xdr:to>
      <xdr:col>17</xdr:col>
      <xdr:colOff>1143000</xdr:colOff>
      <xdr:row>7</xdr:row>
      <xdr:rowOff>89647</xdr:rowOff>
    </xdr:to>
    <xdr:sp macro="" textlink="Dashboard!Z6">
      <xdr:nvSpPr>
        <xdr:cNvPr id="10" name="TextBox 9">
          <a:extLst>
            <a:ext uri="{FF2B5EF4-FFF2-40B4-BE49-F238E27FC236}">
              <a16:creationId xmlns:a16="http://schemas.microsoft.com/office/drawing/2014/main" id="{1F82FF71-E879-4F6B-37A1-8A4505C24AEA}"/>
            </a:ext>
          </a:extLst>
        </xdr:cNvPr>
        <xdr:cNvSpPr txBox="1"/>
      </xdr:nvSpPr>
      <xdr:spPr>
        <a:xfrm>
          <a:off x="18489706" y="1075765"/>
          <a:ext cx="2868706"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latin typeface="Calibri"/>
              <a:ea typeface="Calibri"/>
              <a:cs typeface="Calibri"/>
            </a:rPr>
            <a:t>              </a:t>
          </a:r>
          <a:fld id="{5FBD2BFD-CF52-4670-9E15-4993B029C857}" type="TxLink">
            <a:rPr lang="en-US" sz="2000" b="1" i="0" u="none" strike="noStrike">
              <a:solidFill>
                <a:schemeClr val="bg1"/>
              </a:solidFill>
              <a:latin typeface="Calibri"/>
              <a:ea typeface="Calibri"/>
              <a:cs typeface="Calibri"/>
            </a:rPr>
            <a:t>89.39%</a:t>
          </a:fld>
          <a:endParaRPr lang="en-IN" sz="2000" b="1">
            <a:solidFill>
              <a:schemeClr val="bg1"/>
            </a:solidFill>
          </a:endParaRPr>
        </a:p>
      </xdr:txBody>
    </xdr:sp>
    <xdr:clientData/>
  </xdr:twoCellAnchor>
  <xdr:twoCellAnchor editAs="oneCell">
    <xdr:from>
      <xdr:col>3</xdr:col>
      <xdr:colOff>398318</xdr:colOff>
      <xdr:row>5</xdr:row>
      <xdr:rowOff>34636</xdr:rowOff>
    </xdr:from>
    <xdr:to>
      <xdr:col>3</xdr:col>
      <xdr:colOff>917863</xdr:colOff>
      <xdr:row>7</xdr:row>
      <xdr:rowOff>173181</xdr:rowOff>
    </xdr:to>
    <xdr:pic>
      <xdr:nvPicPr>
        <xdr:cNvPr id="23" name="Graphic 22" descr="Money">
          <a:extLst>
            <a:ext uri="{FF2B5EF4-FFF2-40B4-BE49-F238E27FC236}">
              <a16:creationId xmlns:a16="http://schemas.microsoft.com/office/drawing/2014/main" id="{511BE5F3-EEB9-8A0A-8A43-1FC3D2D8F0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03863" y="987136"/>
          <a:ext cx="519545" cy="519545"/>
        </a:xfrm>
        <a:prstGeom prst="rect">
          <a:avLst/>
        </a:prstGeom>
      </xdr:spPr>
    </xdr:pic>
    <xdr:clientData/>
  </xdr:twoCellAnchor>
  <xdr:twoCellAnchor editAs="oneCell">
    <xdr:from>
      <xdr:col>6</xdr:col>
      <xdr:colOff>813953</xdr:colOff>
      <xdr:row>5</xdr:row>
      <xdr:rowOff>34635</xdr:rowOff>
    </xdr:from>
    <xdr:to>
      <xdr:col>7</xdr:col>
      <xdr:colOff>85444</xdr:colOff>
      <xdr:row>7</xdr:row>
      <xdr:rowOff>172035</xdr:rowOff>
    </xdr:to>
    <xdr:pic>
      <xdr:nvPicPr>
        <xdr:cNvPr id="25" name="Graphic 24" descr="Shopping cart">
          <a:extLst>
            <a:ext uri="{FF2B5EF4-FFF2-40B4-BE49-F238E27FC236}">
              <a16:creationId xmlns:a16="http://schemas.microsoft.com/office/drawing/2014/main" id="{AFA80BA2-3403-A43E-A1B2-8478C6889B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60226" y="987135"/>
          <a:ext cx="518400" cy="518400"/>
        </a:xfrm>
        <a:prstGeom prst="rect">
          <a:avLst/>
        </a:prstGeom>
      </xdr:spPr>
    </xdr:pic>
    <xdr:clientData/>
  </xdr:twoCellAnchor>
  <xdr:twoCellAnchor editAs="oneCell">
    <xdr:from>
      <xdr:col>9</xdr:col>
      <xdr:colOff>727361</xdr:colOff>
      <xdr:row>5</xdr:row>
      <xdr:rowOff>121226</xdr:rowOff>
    </xdr:from>
    <xdr:to>
      <xdr:col>9</xdr:col>
      <xdr:colOff>1245761</xdr:colOff>
      <xdr:row>8</xdr:row>
      <xdr:rowOff>68126</xdr:rowOff>
    </xdr:to>
    <xdr:pic>
      <xdr:nvPicPr>
        <xdr:cNvPr id="27" name="Graphic 26" descr="Open hand">
          <a:extLst>
            <a:ext uri="{FF2B5EF4-FFF2-40B4-BE49-F238E27FC236}">
              <a16:creationId xmlns:a16="http://schemas.microsoft.com/office/drawing/2014/main" id="{FFE8236D-4670-0031-BC81-59C4948049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14361" y="1073726"/>
          <a:ext cx="518400" cy="518400"/>
        </a:xfrm>
        <a:prstGeom prst="rect">
          <a:avLst/>
        </a:prstGeom>
      </xdr:spPr>
    </xdr:pic>
    <xdr:clientData/>
  </xdr:twoCellAnchor>
  <xdr:twoCellAnchor editAs="oneCell">
    <xdr:from>
      <xdr:col>12</xdr:col>
      <xdr:colOff>1108362</xdr:colOff>
      <xdr:row>5</xdr:row>
      <xdr:rowOff>103908</xdr:rowOff>
    </xdr:from>
    <xdr:to>
      <xdr:col>13</xdr:col>
      <xdr:colOff>379853</xdr:colOff>
      <xdr:row>8</xdr:row>
      <xdr:rowOff>50808</xdr:rowOff>
    </xdr:to>
    <xdr:pic>
      <xdr:nvPicPr>
        <xdr:cNvPr id="29" name="Graphic 28" descr="Box">
          <a:extLst>
            <a:ext uri="{FF2B5EF4-FFF2-40B4-BE49-F238E27FC236}">
              <a16:creationId xmlns:a16="http://schemas.microsoft.com/office/drawing/2014/main" id="{60D5A29E-70C5-ABDC-918D-3076C3F9F7A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136089" y="1056408"/>
          <a:ext cx="518400" cy="518400"/>
        </a:xfrm>
        <a:prstGeom prst="rect">
          <a:avLst/>
        </a:prstGeom>
      </xdr:spPr>
    </xdr:pic>
    <xdr:clientData/>
  </xdr:twoCellAnchor>
  <xdr:twoCellAnchor editAs="oneCell">
    <xdr:from>
      <xdr:col>15</xdr:col>
      <xdr:colOff>1039089</xdr:colOff>
      <xdr:row>5</xdr:row>
      <xdr:rowOff>121227</xdr:rowOff>
    </xdr:from>
    <xdr:to>
      <xdr:col>16</xdr:col>
      <xdr:colOff>310580</xdr:colOff>
      <xdr:row>8</xdr:row>
      <xdr:rowOff>68127</xdr:rowOff>
    </xdr:to>
    <xdr:pic>
      <xdr:nvPicPr>
        <xdr:cNvPr id="31" name="Graphic 30" descr="Bullseye">
          <a:extLst>
            <a:ext uri="{FF2B5EF4-FFF2-40B4-BE49-F238E27FC236}">
              <a16:creationId xmlns:a16="http://schemas.microsoft.com/office/drawing/2014/main" id="{B39C8653-9AD7-6848-26C1-DFFBEBB79F2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807544" y="1073727"/>
          <a:ext cx="518400" cy="518400"/>
        </a:xfrm>
        <a:prstGeom prst="rect">
          <a:avLst/>
        </a:prstGeom>
      </xdr:spPr>
    </xdr:pic>
    <xdr:clientData/>
  </xdr:twoCellAnchor>
  <xdr:twoCellAnchor>
    <xdr:from>
      <xdr:col>3</xdr:col>
      <xdr:colOff>291351</xdr:colOff>
      <xdr:row>9</xdr:row>
      <xdr:rowOff>164165</xdr:rowOff>
    </xdr:from>
    <xdr:to>
      <xdr:col>10</xdr:col>
      <xdr:colOff>523874</xdr:colOff>
      <xdr:row>30</xdr:row>
      <xdr:rowOff>142874</xdr:rowOff>
    </xdr:to>
    <xdr:graphicFrame macro="">
      <xdr:nvGraphicFramePr>
        <xdr:cNvPr id="32" name="Chart 31">
          <a:extLst>
            <a:ext uri="{FF2B5EF4-FFF2-40B4-BE49-F238E27FC236}">
              <a16:creationId xmlns:a16="http://schemas.microsoft.com/office/drawing/2014/main" id="{3FADFF66-BD79-49AC-8ABD-48A8BDDB4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940933</xdr:colOff>
      <xdr:row>10</xdr:row>
      <xdr:rowOff>21773</xdr:rowOff>
    </xdr:from>
    <xdr:to>
      <xdr:col>17</xdr:col>
      <xdr:colOff>1039033</xdr:colOff>
      <xdr:row>30</xdr:row>
      <xdr:rowOff>139373</xdr:rowOff>
    </xdr:to>
    <xdr:graphicFrame macro="">
      <xdr:nvGraphicFramePr>
        <xdr:cNvPr id="33" name="Chart 32">
          <a:extLst>
            <a:ext uri="{FF2B5EF4-FFF2-40B4-BE49-F238E27FC236}">
              <a16:creationId xmlns:a16="http://schemas.microsoft.com/office/drawing/2014/main" id="{24445FF7-4819-4797-B3B5-70FE93488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333374</xdr:colOff>
      <xdr:row>32</xdr:row>
      <xdr:rowOff>0</xdr:rowOff>
    </xdr:from>
    <xdr:to>
      <xdr:col>10</xdr:col>
      <xdr:colOff>564824</xdr:colOff>
      <xdr:row>52</xdr:row>
      <xdr:rowOff>168000</xdr:rowOff>
    </xdr:to>
    <xdr:graphicFrame macro="">
      <xdr:nvGraphicFramePr>
        <xdr:cNvPr id="34" name="Chart 33">
          <a:extLst>
            <a:ext uri="{FF2B5EF4-FFF2-40B4-BE49-F238E27FC236}">
              <a16:creationId xmlns:a16="http://schemas.microsoft.com/office/drawing/2014/main" id="{D95FA218-B9F6-4A66-9C13-A60CFE466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904875</xdr:colOff>
      <xdr:row>32</xdr:row>
      <xdr:rowOff>47624</xdr:rowOff>
    </xdr:from>
    <xdr:to>
      <xdr:col>17</xdr:col>
      <xdr:colOff>1002975</xdr:colOff>
      <xdr:row>52</xdr:row>
      <xdr:rowOff>166687</xdr:rowOff>
    </xdr:to>
    <xdr:graphicFrame macro="">
      <xdr:nvGraphicFramePr>
        <xdr:cNvPr id="35" name="Chart 34">
          <a:extLst>
            <a:ext uri="{FF2B5EF4-FFF2-40B4-BE49-F238E27FC236}">
              <a16:creationId xmlns:a16="http://schemas.microsoft.com/office/drawing/2014/main" id="{B56FC725-0892-4407-8B21-92A6C3E89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370177</xdr:colOff>
      <xdr:row>54</xdr:row>
      <xdr:rowOff>44163</xdr:rowOff>
    </xdr:from>
    <xdr:to>
      <xdr:col>10</xdr:col>
      <xdr:colOff>601627</xdr:colOff>
      <xdr:row>74</xdr:row>
      <xdr:rowOff>161763</xdr:rowOff>
    </xdr:to>
    <xdr:graphicFrame macro="">
      <xdr:nvGraphicFramePr>
        <xdr:cNvPr id="36" name="Chart 35">
          <a:extLst>
            <a:ext uri="{FF2B5EF4-FFF2-40B4-BE49-F238E27FC236}">
              <a16:creationId xmlns:a16="http://schemas.microsoft.com/office/drawing/2014/main" id="{1B7B1EEB-5E9F-4B83-BD83-6B9691926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898071</xdr:colOff>
      <xdr:row>54</xdr:row>
      <xdr:rowOff>56346</xdr:rowOff>
    </xdr:from>
    <xdr:to>
      <xdr:col>17</xdr:col>
      <xdr:colOff>996171</xdr:colOff>
      <xdr:row>74</xdr:row>
      <xdr:rowOff>173946</xdr:rowOff>
    </xdr:to>
    <xdr:graphicFrame macro="">
      <xdr:nvGraphicFramePr>
        <xdr:cNvPr id="37" name="Chart 36">
          <a:extLst>
            <a:ext uri="{FF2B5EF4-FFF2-40B4-BE49-F238E27FC236}">
              <a16:creationId xmlns:a16="http://schemas.microsoft.com/office/drawing/2014/main" id="{1B7D6E89-9A91-4FC9-9ED4-30A090F26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395287</xdr:colOff>
      <xdr:row>76</xdr:row>
      <xdr:rowOff>90488</xdr:rowOff>
    </xdr:from>
    <xdr:to>
      <xdr:col>10</xdr:col>
      <xdr:colOff>626737</xdr:colOff>
      <xdr:row>97</xdr:row>
      <xdr:rowOff>17588</xdr:rowOff>
    </xdr:to>
    <xdr:sp macro="" textlink="">
      <xdr:nvSpPr>
        <xdr:cNvPr id="38" name="Rectangle 37">
          <a:extLst>
            <a:ext uri="{FF2B5EF4-FFF2-40B4-BE49-F238E27FC236}">
              <a16:creationId xmlns:a16="http://schemas.microsoft.com/office/drawing/2014/main" id="{A00BF59F-56F9-0EE0-DC9C-9B3FBC2A90FB}"/>
            </a:ext>
          </a:extLst>
        </xdr:cNvPr>
        <xdr:cNvSpPr/>
      </xdr:nvSpPr>
      <xdr:spPr>
        <a:xfrm>
          <a:off x="3181350" y="14568488"/>
          <a:ext cx="8899200" cy="3927600"/>
        </a:xfrm>
        <a:prstGeom prst="rect">
          <a:avLst/>
        </a:prstGeom>
        <a:solidFill>
          <a:srgbClr val="E8F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895350</xdr:colOff>
      <xdr:row>76</xdr:row>
      <xdr:rowOff>90488</xdr:rowOff>
    </xdr:from>
    <xdr:to>
      <xdr:col>17</xdr:col>
      <xdr:colOff>993450</xdr:colOff>
      <xdr:row>97</xdr:row>
      <xdr:rowOff>17588</xdr:rowOff>
    </xdr:to>
    <xdr:sp macro="" textlink="">
      <xdr:nvSpPr>
        <xdr:cNvPr id="39" name="Rectangle 38">
          <a:extLst>
            <a:ext uri="{FF2B5EF4-FFF2-40B4-BE49-F238E27FC236}">
              <a16:creationId xmlns:a16="http://schemas.microsoft.com/office/drawing/2014/main" id="{EFD9E610-55AD-56CD-CB11-5BB93D23FF25}"/>
            </a:ext>
          </a:extLst>
        </xdr:cNvPr>
        <xdr:cNvSpPr/>
      </xdr:nvSpPr>
      <xdr:spPr>
        <a:xfrm>
          <a:off x="12349163" y="14568488"/>
          <a:ext cx="8765850" cy="3927600"/>
        </a:xfrm>
        <a:prstGeom prst="rect">
          <a:avLst/>
        </a:prstGeom>
        <a:solidFill>
          <a:srgbClr val="FFF3E0"/>
        </a:soli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123700</xdr:colOff>
      <xdr:row>27</xdr:row>
      <xdr:rowOff>104776</xdr:rowOff>
    </xdr:from>
    <xdr:to>
      <xdr:col>3</xdr:col>
      <xdr:colOff>138546</xdr:colOff>
      <xdr:row>51</xdr:row>
      <xdr:rowOff>114300</xdr:rowOff>
    </xdr:to>
    <mc:AlternateContent xmlns:mc="http://schemas.openxmlformats.org/markup-compatibility/2006">
      <mc:Choice xmlns:a14="http://schemas.microsoft.com/office/drawing/2010/main" Requires="a14">
        <xdr:graphicFrame macro="">
          <xdr:nvGraphicFramePr>
            <xdr:cNvPr id="40" name="Region">
              <a:extLst>
                <a:ext uri="{FF2B5EF4-FFF2-40B4-BE49-F238E27FC236}">
                  <a16:creationId xmlns:a16="http://schemas.microsoft.com/office/drawing/2014/main" id="{72A24F27-2D7F-4DE6-8AAD-E239DF955E7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700" y="5248276"/>
              <a:ext cx="2820391" cy="4581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299358</xdr:colOff>
      <xdr:row>1</xdr:row>
      <xdr:rowOff>176893</xdr:rowOff>
    </xdr:from>
    <xdr:to>
      <xdr:col>1</xdr:col>
      <xdr:colOff>517072</xdr:colOff>
      <xdr:row>4</xdr:row>
      <xdr:rowOff>136071</xdr:rowOff>
    </xdr:to>
    <xdr:pic>
      <xdr:nvPicPr>
        <xdr:cNvPr id="42" name="Graphic 41" descr="Bar graph with upward trend">
          <a:extLst>
            <a:ext uri="{FF2B5EF4-FFF2-40B4-BE49-F238E27FC236}">
              <a16:creationId xmlns:a16="http://schemas.microsoft.com/office/drawing/2014/main" id="{7332B2F4-CB0A-FEF9-F249-27A6FBA920B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99358" y="367393"/>
          <a:ext cx="530678" cy="530678"/>
        </a:xfrm>
        <a:prstGeom prst="rect">
          <a:avLst/>
        </a:prstGeom>
      </xdr:spPr>
    </xdr:pic>
    <xdr:clientData/>
  </xdr:twoCellAnchor>
  <xdr:twoCellAnchor editAs="oneCell">
    <xdr:from>
      <xdr:col>0</xdr:col>
      <xdr:colOff>294408</xdr:colOff>
      <xdr:row>5</xdr:row>
      <xdr:rowOff>51955</xdr:rowOff>
    </xdr:from>
    <xdr:to>
      <xdr:col>1</xdr:col>
      <xdr:colOff>511881</xdr:colOff>
      <xdr:row>8</xdr:row>
      <xdr:rowOff>9655</xdr:rowOff>
    </xdr:to>
    <xdr:pic>
      <xdr:nvPicPr>
        <xdr:cNvPr id="44" name="Graphic 43" descr="Home">
          <a:extLst>
            <a:ext uri="{FF2B5EF4-FFF2-40B4-BE49-F238E27FC236}">
              <a16:creationId xmlns:a16="http://schemas.microsoft.com/office/drawing/2014/main" id="{B02EEDCF-CED2-0934-5E3D-7FD82E80A91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94408" y="1004455"/>
          <a:ext cx="529200" cy="529200"/>
        </a:xfrm>
        <a:prstGeom prst="rect">
          <a:avLst/>
        </a:prstGeom>
      </xdr:spPr>
    </xdr:pic>
    <xdr:clientData/>
  </xdr:twoCellAnchor>
  <xdr:twoCellAnchor>
    <xdr:from>
      <xdr:col>1</xdr:col>
      <xdr:colOff>571500</xdr:colOff>
      <xdr:row>5</xdr:row>
      <xdr:rowOff>144781</xdr:rowOff>
    </xdr:from>
    <xdr:to>
      <xdr:col>2</xdr:col>
      <xdr:colOff>1004455</xdr:colOff>
      <xdr:row>7</xdr:row>
      <xdr:rowOff>121227</xdr:rowOff>
    </xdr:to>
    <xdr:sp macro="" textlink="">
      <xdr:nvSpPr>
        <xdr:cNvPr id="45" name="TextBox 44">
          <a:extLst>
            <a:ext uri="{FF2B5EF4-FFF2-40B4-BE49-F238E27FC236}">
              <a16:creationId xmlns:a16="http://schemas.microsoft.com/office/drawing/2014/main" id="{5FD5C55B-B906-CDDF-A1CC-2A757B21B45A}"/>
            </a:ext>
          </a:extLst>
        </xdr:cNvPr>
        <xdr:cNvSpPr txBox="1"/>
      </xdr:nvSpPr>
      <xdr:spPr>
        <a:xfrm>
          <a:off x="883227" y="1097281"/>
          <a:ext cx="1679864" cy="35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panose="020B0502040204020203" pitchFamily="34" charset="0"/>
              <a:cs typeface="Segoe UI" panose="020B0502040204020203" pitchFamily="34" charset="0"/>
            </a:rPr>
            <a:t>DashBoard</a:t>
          </a:r>
        </a:p>
        <a:p>
          <a:endParaRPr lang="en-IN" sz="1100"/>
        </a:p>
      </xdr:txBody>
    </xdr:sp>
    <xdr:clientData/>
  </xdr:twoCellAnchor>
  <xdr:twoCellAnchor editAs="oneCell">
    <xdr:from>
      <xdr:col>0</xdr:col>
      <xdr:colOff>277089</xdr:colOff>
      <xdr:row>8</xdr:row>
      <xdr:rowOff>69275</xdr:rowOff>
    </xdr:from>
    <xdr:to>
      <xdr:col>1</xdr:col>
      <xdr:colOff>494562</xdr:colOff>
      <xdr:row>11</xdr:row>
      <xdr:rowOff>26975</xdr:rowOff>
    </xdr:to>
    <xdr:pic>
      <xdr:nvPicPr>
        <xdr:cNvPr id="47" name="Graphic 46" descr="Presentation with bar chart">
          <a:extLst>
            <a:ext uri="{FF2B5EF4-FFF2-40B4-BE49-F238E27FC236}">
              <a16:creationId xmlns:a16="http://schemas.microsoft.com/office/drawing/2014/main" id="{D39203DF-44DA-6423-E14D-29A24F994CC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7089" y="1593275"/>
          <a:ext cx="529200" cy="529200"/>
        </a:xfrm>
        <a:prstGeom prst="rect">
          <a:avLst/>
        </a:prstGeom>
      </xdr:spPr>
    </xdr:pic>
    <xdr:clientData/>
  </xdr:twoCellAnchor>
  <xdr:twoCellAnchor>
    <xdr:from>
      <xdr:col>1</xdr:col>
      <xdr:colOff>571500</xdr:colOff>
      <xdr:row>8</xdr:row>
      <xdr:rowOff>138546</xdr:rowOff>
    </xdr:from>
    <xdr:to>
      <xdr:col>2</xdr:col>
      <xdr:colOff>831273</xdr:colOff>
      <xdr:row>11</xdr:row>
      <xdr:rowOff>17319</xdr:rowOff>
    </xdr:to>
    <xdr:sp macro="" textlink="">
      <xdr:nvSpPr>
        <xdr:cNvPr id="48" name="TextBox 47">
          <a:extLst>
            <a:ext uri="{FF2B5EF4-FFF2-40B4-BE49-F238E27FC236}">
              <a16:creationId xmlns:a16="http://schemas.microsoft.com/office/drawing/2014/main" id="{2939D12A-2D41-7B79-09C3-5AE6D12218CF}"/>
            </a:ext>
          </a:extLst>
        </xdr:cNvPr>
        <xdr:cNvSpPr txBox="1"/>
      </xdr:nvSpPr>
      <xdr:spPr>
        <a:xfrm>
          <a:off x="883227" y="1662546"/>
          <a:ext cx="1506682"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panose="020B0502040204020203" pitchFamily="34" charset="0"/>
              <a:cs typeface="Segoe UI" panose="020B0502040204020203" pitchFamily="34" charset="0"/>
            </a:rPr>
            <a:t>Region Analysis</a:t>
          </a:r>
        </a:p>
      </xdr:txBody>
    </xdr:sp>
    <xdr:clientData/>
  </xdr:twoCellAnchor>
  <xdr:twoCellAnchor editAs="oneCell">
    <xdr:from>
      <xdr:col>0</xdr:col>
      <xdr:colOff>242453</xdr:colOff>
      <xdr:row>11</xdr:row>
      <xdr:rowOff>86592</xdr:rowOff>
    </xdr:from>
    <xdr:to>
      <xdr:col>1</xdr:col>
      <xdr:colOff>459926</xdr:colOff>
      <xdr:row>14</xdr:row>
      <xdr:rowOff>44292</xdr:rowOff>
    </xdr:to>
    <xdr:pic>
      <xdr:nvPicPr>
        <xdr:cNvPr id="50" name="Graphic 49" descr="Box">
          <a:extLst>
            <a:ext uri="{FF2B5EF4-FFF2-40B4-BE49-F238E27FC236}">
              <a16:creationId xmlns:a16="http://schemas.microsoft.com/office/drawing/2014/main" id="{A2931BFB-A8A1-64DE-07CC-95D111C840B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42453" y="2182092"/>
          <a:ext cx="529200" cy="529200"/>
        </a:xfrm>
        <a:prstGeom prst="rect">
          <a:avLst/>
        </a:prstGeom>
      </xdr:spPr>
    </xdr:pic>
    <xdr:clientData/>
  </xdr:twoCellAnchor>
  <xdr:twoCellAnchor>
    <xdr:from>
      <xdr:col>1</xdr:col>
      <xdr:colOff>536864</xdr:colOff>
      <xdr:row>12</xdr:row>
      <xdr:rowOff>17318</xdr:rowOff>
    </xdr:from>
    <xdr:to>
      <xdr:col>2</xdr:col>
      <xdr:colOff>1021773</xdr:colOff>
      <xdr:row>14</xdr:row>
      <xdr:rowOff>34635</xdr:rowOff>
    </xdr:to>
    <xdr:sp macro="" textlink="">
      <xdr:nvSpPr>
        <xdr:cNvPr id="51" name="TextBox 50">
          <a:extLst>
            <a:ext uri="{FF2B5EF4-FFF2-40B4-BE49-F238E27FC236}">
              <a16:creationId xmlns:a16="http://schemas.microsoft.com/office/drawing/2014/main" id="{D45142D5-5849-DE22-2ECF-A2F250E4AF6B}"/>
            </a:ext>
          </a:extLst>
        </xdr:cNvPr>
        <xdr:cNvSpPr txBox="1"/>
      </xdr:nvSpPr>
      <xdr:spPr>
        <a:xfrm>
          <a:off x="848591" y="2303318"/>
          <a:ext cx="1731818" cy="398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panose="020B0502040204020203" pitchFamily="34" charset="0"/>
              <a:cs typeface="Segoe UI" panose="020B0502040204020203" pitchFamily="34" charset="0"/>
            </a:rPr>
            <a:t>Catogary Analysis</a:t>
          </a:r>
        </a:p>
      </xdr:txBody>
    </xdr:sp>
    <xdr:clientData/>
  </xdr:twoCellAnchor>
  <xdr:twoCellAnchor editAs="oneCell">
    <xdr:from>
      <xdr:col>0</xdr:col>
      <xdr:colOff>259771</xdr:colOff>
      <xdr:row>14</xdr:row>
      <xdr:rowOff>103911</xdr:rowOff>
    </xdr:from>
    <xdr:to>
      <xdr:col>1</xdr:col>
      <xdr:colOff>477244</xdr:colOff>
      <xdr:row>17</xdr:row>
      <xdr:rowOff>61611</xdr:rowOff>
    </xdr:to>
    <xdr:pic>
      <xdr:nvPicPr>
        <xdr:cNvPr id="53" name="Graphic 52" descr="Upward trend">
          <a:extLst>
            <a:ext uri="{FF2B5EF4-FFF2-40B4-BE49-F238E27FC236}">
              <a16:creationId xmlns:a16="http://schemas.microsoft.com/office/drawing/2014/main" id="{6279C61D-1860-5185-0663-901B609623ED}"/>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59771" y="2770911"/>
          <a:ext cx="529200" cy="529200"/>
        </a:xfrm>
        <a:prstGeom prst="rect">
          <a:avLst/>
        </a:prstGeom>
      </xdr:spPr>
    </xdr:pic>
    <xdr:clientData/>
  </xdr:twoCellAnchor>
  <xdr:twoCellAnchor>
    <xdr:from>
      <xdr:col>1</xdr:col>
      <xdr:colOff>571501</xdr:colOff>
      <xdr:row>14</xdr:row>
      <xdr:rowOff>155864</xdr:rowOff>
    </xdr:from>
    <xdr:to>
      <xdr:col>2</xdr:col>
      <xdr:colOff>519546</xdr:colOff>
      <xdr:row>17</xdr:row>
      <xdr:rowOff>0</xdr:rowOff>
    </xdr:to>
    <xdr:sp macro="" textlink="">
      <xdr:nvSpPr>
        <xdr:cNvPr id="54" name="TextBox 53">
          <a:extLst>
            <a:ext uri="{FF2B5EF4-FFF2-40B4-BE49-F238E27FC236}">
              <a16:creationId xmlns:a16="http://schemas.microsoft.com/office/drawing/2014/main" id="{87CC344D-5610-CDB8-FCD0-6150AD39E516}"/>
            </a:ext>
          </a:extLst>
        </xdr:cNvPr>
        <xdr:cNvSpPr txBox="1"/>
      </xdr:nvSpPr>
      <xdr:spPr>
        <a:xfrm>
          <a:off x="883228" y="2822864"/>
          <a:ext cx="1194954"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panose="020B0502040204020203" pitchFamily="34" charset="0"/>
              <a:cs typeface="Segoe UI" panose="020B0502040204020203" pitchFamily="34" charset="0"/>
            </a:rPr>
            <a:t>Sales Trend</a:t>
          </a:r>
        </a:p>
      </xdr:txBody>
    </xdr:sp>
    <xdr:clientData/>
  </xdr:twoCellAnchor>
  <xdr:twoCellAnchor editAs="oneCell">
    <xdr:from>
      <xdr:col>0</xdr:col>
      <xdr:colOff>242452</xdr:colOff>
      <xdr:row>17</xdr:row>
      <xdr:rowOff>103913</xdr:rowOff>
    </xdr:from>
    <xdr:to>
      <xdr:col>1</xdr:col>
      <xdr:colOff>459925</xdr:colOff>
      <xdr:row>20</xdr:row>
      <xdr:rowOff>61613</xdr:rowOff>
    </xdr:to>
    <xdr:pic>
      <xdr:nvPicPr>
        <xdr:cNvPr id="56" name="Graphic 55" descr="Shopping bag">
          <a:extLst>
            <a:ext uri="{FF2B5EF4-FFF2-40B4-BE49-F238E27FC236}">
              <a16:creationId xmlns:a16="http://schemas.microsoft.com/office/drawing/2014/main" id="{902EF7C1-1E58-C265-813A-CA531ACE5E4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242452" y="3342413"/>
          <a:ext cx="529200" cy="529200"/>
        </a:xfrm>
        <a:prstGeom prst="rect">
          <a:avLst/>
        </a:prstGeom>
      </xdr:spPr>
    </xdr:pic>
    <xdr:clientData/>
  </xdr:twoCellAnchor>
  <xdr:twoCellAnchor>
    <xdr:from>
      <xdr:col>1</xdr:col>
      <xdr:colOff>554183</xdr:colOff>
      <xdr:row>18</xdr:row>
      <xdr:rowOff>17318</xdr:rowOff>
    </xdr:from>
    <xdr:to>
      <xdr:col>2</xdr:col>
      <xdr:colOff>1021774</xdr:colOff>
      <xdr:row>19</xdr:row>
      <xdr:rowOff>121227</xdr:rowOff>
    </xdr:to>
    <xdr:sp macro="" textlink="">
      <xdr:nvSpPr>
        <xdr:cNvPr id="57" name="TextBox 56">
          <a:extLst>
            <a:ext uri="{FF2B5EF4-FFF2-40B4-BE49-F238E27FC236}">
              <a16:creationId xmlns:a16="http://schemas.microsoft.com/office/drawing/2014/main" id="{7523CBA6-7012-3D25-F716-E7B2CBE36B2A}"/>
            </a:ext>
          </a:extLst>
        </xdr:cNvPr>
        <xdr:cNvSpPr txBox="1"/>
      </xdr:nvSpPr>
      <xdr:spPr>
        <a:xfrm>
          <a:off x="865910" y="3446318"/>
          <a:ext cx="1714500"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panose="020B0502040204020203" pitchFamily="34" charset="0"/>
              <a:cs typeface="Segoe UI" panose="020B0502040204020203" pitchFamily="34" charset="0"/>
            </a:rPr>
            <a:t>Product</a:t>
          </a:r>
          <a:r>
            <a:rPr lang="en-IN" sz="1400" b="1" baseline="0">
              <a:latin typeface="Segoe UI" panose="020B0502040204020203" pitchFamily="34" charset="0"/>
              <a:cs typeface="Segoe UI" panose="020B0502040204020203" pitchFamily="34" charset="0"/>
            </a:rPr>
            <a:t> </a:t>
          </a:r>
          <a:r>
            <a:rPr lang="en-IN" sz="1400" b="1" baseline="0">
              <a:solidFill>
                <a:schemeClr val="bg1"/>
              </a:solidFill>
              <a:latin typeface="Segoe UI" panose="020B0502040204020203" pitchFamily="34" charset="0"/>
              <a:cs typeface="Segoe UI" panose="020B0502040204020203" pitchFamily="34" charset="0"/>
            </a:rPr>
            <a:t>Analysis</a:t>
          </a:r>
          <a:endParaRPr lang="en-IN" sz="14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259770</xdr:colOff>
      <xdr:row>20</xdr:row>
      <xdr:rowOff>173184</xdr:rowOff>
    </xdr:from>
    <xdr:to>
      <xdr:col>1</xdr:col>
      <xdr:colOff>477243</xdr:colOff>
      <xdr:row>23</xdr:row>
      <xdr:rowOff>130884</xdr:rowOff>
    </xdr:to>
    <xdr:pic>
      <xdr:nvPicPr>
        <xdr:cNvPr id="59" name="Graphic 58" descr="Users">
          <a:extLst>
            <a:ext uri="{FF2B5EF4-FFF2-40B4-BE49-F238E27FC236}">
              <a16:creationId xmlns:a16="http://schemas.microsoft.com/office/drawing/2014/main" id="{99F40520-0353-DF94-8551-AE47E22DC66B}"/>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259770" y="3983184"/>
          <a:ext cx="529200" cy="529200"/>
        </a:xfrm>
        <a:prstGeom prst="rect">
          <a:avLst/>
        </a:prstGeom>
      </xdr:spPr>
    </xdr:pic>
    <xdr:clientData/>
  </xdr:twoCellAnchor>
  <xdr:twoCellAnchor>
    <xdr:from>
      <xdr:col>1</xdr:col>
      <xdr:colOff>536864</xdr:colOff>
      <xdr:row>21</xdr:row>
      <xdr:rowOff>86590</xdr:rowOff>
    </xdr:from>
    <xdr:to>
      <xdr:col>2</xdr:col>
      <xdr:colOff>1108364</xdr:colOff>
      <xdr:row>23</xdr:row>
      <xdr:rowOff>34635</xdr:rowOff>
    </xdr:to>
    <xdr:sp macro="" textlink="">
      <xdr:nvSpPr>
        <xdr:cNvPr id="60" name="TextBox 59">
          <a:extLst>
            <a:ext uri="{FF2B5EF4-FFF2-40B4-BE49-F238E27FC236}">
              <a16:creationId xmlns:a16="http://schemas.microsoft.com/office/drawing/2014/main" id="{2D647A79-9D4E-25A4-E4EF-A938B529D29E}"/>
            </a:ext>
          </a:extLst>
        </xdr:cNvPr>
        <xdr:cNvSpPr txBox="1"/>
      </xdr:nvSpPr>
      <xdr:spPr>
        <a:xfrm>
          <a:off x="848591" y="4087090"/>
          <a:ext cx="1818409" cy="329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panose="020B0502040204020203" pitchFamily="34" charset="0"/>
              <a:cs typeface="Segoe UI" panose="020B0502040204020203" pitchFamily="34" charset="0"/>
            </a:rPr>
            <a:t>Customer Analysis</a:t>
          </a:r>
        </a:p>
        <a:p>
          <a:endParaRPr lang="en-IN" sz="1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259773</xdr:colOff>
      <xdr:row>24</xdr:row>
      <xdr:rowOff>69273</xdr:rowOff>
    </xdr:from>
    <xdr:to>
      <xdr:col>2</xdr:col>
      <xdr:colOff>727364</xdr:colOff>
      <xdr:row>27</xdr:row>
      <xdr:rowOff>51955</xdr:rowOff>
    </xdr:to>
    <xdr:sp macro="" textlink="">
      <xdr:nvSpPr>
        <xdr:cNvPr id="61" name="TextBox 60">
          <a:extLst>
            <a:ext uri="{FF2B5EF4-FFF2-40B4-BE49-F238E27FC236}">
              <a16:creationId xmlns:a16="http://schemas.microsoft.com/office/drawing/2014/main" id="{59F49350-A202-D58A-5F07-52573469E12B}"/>
            </a:ext>
          </a:extLst>
        </xdr:cNvPr>
        <xdr:cNvSpPr txBox="1"/>
      </xdr:nvSpPr>
      <xdr:spPr>
        <a:xfrm>
          <a:off x="259773" y="4641273"/>
          <a:ext cx="2026227"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chemeClr val="bg1"/>
              </a:solidFill>
              <a:latin typeface="Segoe UI" panose="020B0502040204020203" pitchFamily="34" charset="0"/>
              <a:cs typeface="Segoe UI" panose="020B0502040204020203" pitchFamily="34" charset="0"/>
            </a:rPr>
            <a:t>FILTERS</a:t>
          </a:r>
        </a:p>
      </xdr:txBody>
    </xdr:sp>
    <xdr:clientData/>
  </xdr:twoCellAnchor>
  <xdr:twoCellAnchor editAs="oneCell">
    <xdr:from>
      <xdr:col>0</xdr:col>
      <xdr:colOff>138545</xdr:colOff>
      <xdr:row>52</xdr:row>
      <xdr:rowOff>103908</xdr:rowOff>
    </xdr:from>
    <xdr:to>
      <xdr:col>3</xdr:col>
      <xdr:colOff>155864</xdr:colOff>
      <xdr:row>61</xdr:row>
      <xdr:rowOff>138545</xdr:rowOff>
    </xdr:to>
    <mc:AlternateContent xmlns:mc="http://schemas.openxmlformats.org/markup-compatibility/2006">
      <mc:Choice xmlns:a14="http://schemas.microsoft.com/office/drawing/2010/main" Requires="a14">
        <xdr:graphicFrame macro="">
          <xdr:nvGraphicFramePr>
            <xdr:cNvPr id="62" name="Category">
              <a:extLst>
                <a:ext uri="{FF2B5EF4-FFF2-40B4-BE49-F238E27FC236}">
                  <a16:creationId xmlns:a16="http://schemas.microsoft.com/office/drawing/2014/main" id="{A42BDC40-A094-4AD6-8491-588EE77076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8545" y="10009908"/>
              <a:ext cx="2822864" cy="1749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155864</xdr:colOff>
      <xdr:row>63</xdr:row>
      <xdr:rowOff>34637</xdr:rowOff>
    </xdr:from>
    <xdr:to>
      <xdr:col>3</xdr:col>
      <xdr:colOff>173183</xdr:colOff>
      <xdr:row>74</xdr:row>
      <xdr:rowOff>121227</xdr:rowOff>
    </xdr:to>
    <mc:AlternateContent xmlns:mc="http://schemas.openxmlformats.org/markup-compatibility/2006">
      <mc:Choice xmlns:a14="http://schemas.microsoft.com/office/drawing/2010/main" Requires="a14">
        <xdr:graphicFrame macro="">
          <xdr:nvGraphicFramePr>
            <xdr:cNvPr id="63" name="Salesperson">
              <a:extLst>
                <a:ext uri="{FF2B5EF4-FFF2-40B4-BE49-F238E27FC236}">
                  <a16:creationId xmlns:a16="http://schemas.microsoft.com/office/drawing/2014/main" id="{B96A283D-BFF2-430F-A553-F7FB91F5228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55864" y="12036137"/>
              <a:ext cx="2822864" cy="2182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75</xdr:row>
      <xdr:rowOff>121228</xdr:rowOff>
    </xdr:from>
    <xdr:to>
      <xdr:col>3</xdr:col>
      <xdr:colOff>225137</xdr:colOff>
      <xdr:row>87</xdr:row>
      <xdr:rowOff>86592</xdr:rowOff>
    </xdr:to>
    <mc:AlternateContent xmlns:mc="http://schemas.openxmlformats.org/markup-compatibility/2006">
      <mc:Choice xmlns:a14="http://schemas.microsoft.com/office/drawing/2010/main" Requires="a14">
        <xdr:graphicFrame macro="">
          <xdr:nvGraphicFramePr>
            <xdr:cNvPr id="1024" name="Customer_Type 1">
              <a:extLst>
                <a:ext uri="{FF2B5EF4-FFF2-40B4-BE49-F238E27FC236}">
                  <a16:creationId xmlns:a16="http://schemas.microsoft.com/office/drawing/2014/main" id="{F678AA11-F649-423D-AED2-1B15DA3BEB5F}"/>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90500" y="14408728"/>
              <a:ext cx="2840182" cy="2251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155863</xdr:colOff>
      <xdr:row>88</xdr:row>
      <xdr:rowOff>34635</xdr:rowOff>
    </xdr:from>
    <xdr:to>
      <xdr:col>3</xdr:col>
      <xdr:colOff>173182</xdr:colOff>
      <xdr:row>96</xdr:row>
      <xdr:rowOff>190498</xdr:rowOff>
    </xdr:to>
    <mc:AlternateContent xmlns:mc="http://schemas.openxmlformats.org/markup-compatibility/2006">
      <mc:Choice xmlns:tsle="http://schemas.microsoft.com/office/drawing/2012/timeslicer" Requires="tsle">
        <xdr:graphicFrame macro="">
          <xdr:nvGraphicFramePr>
            <xdr:cNvPr id="1026" name="Date">
              <a:extLst>
                <a:ext uri="{FF2B5EF4-FFF2-40B4-BE49-F238E27FC236}">
                  <a16:creationId xmlns:a16="http://schemas.microsoft.com/office/drawing/2014/main" id="{C3F47A45-09C8-4DBB-92EB-6632ECCA68C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55863" y="16798635"/>
              <a:ext cx="2822864" cy="16798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450273</xdr:colOff>
      <xdr:row>76</xdr:row>
      <xdr:rowOff>103911</xdr:rowOff>
    </xdr:from>
    <xdr:to>
      <xdr:col>10</xdr:col>
      <xdr:colOff>588818</xdr:colOff>
      <xdr:row>96</xdr:row>
      <xdr:rowOff>121228</xdr:rowOff>
    </xdr:to>
    <xdr:sp macro="" textlink="">
      <xdr:nvSpPr>
        <xdr:cNvPr id="1027" name="TextBox 1026">
          <a:extLst>
            <a:ext uri="{FF2B5EF4-FFF2-40B4-BE49-F238E27FC236}">
              <a16:creationId xmlns:a16="http://schemas.microsoft.com/office/drawing/2014/main" id="{94A3B4B1-D847-0A2A-CB97-CC39007C7624}"/>
            </a:ext>
          </a:extLst>
        </xdr:cNvPr>
        <xdr:cNvSpPr txBox="1"/>
      </xdr:nvSpPr>
      <xdr:spPr>
        <a:xfrm>
          <a:off x="3255818" y="14581911"/>
          <a:ext cx="8866909" cy="3827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rgbClr val="C00000"/>
              </a:solidFill>
            </a:rPr>
            <a:t>Key Insights</a:t>
          </a:r>
        </a:p>
        <a:p>
          <a:r>
            <a:rPr lang="en-IN" sz="2000" b="1"/>
            <a:t>North region generated the highest sales revenue of approximately ₹3.76 Lakhs. </a:t>
          </a:r>
        </a:p>
        <a:p>
          <a:r>
            <a:rPr lang="en-IN" sz="2000" b="1"/>
            <a:t>Electronics category contributed nearly 75% of total sales. </a:t>
          </a:r>
        </a:p>
        <a:p>
          <a:r>
            <a:rPr lang="en-IN" sz="2000" b="1"/>
            <a:t>Arun is the top-performing salesperson with the highest sales volume. </a:t>
          </a:r>
        </a:p>
        <a:p>
          <a:r>
            <a:rPr lang="en-IN" sz="2000" b="1"/>
            <a:t>Mobile is the best-selling product among all products. </a:t>
          </a:r>
        </a:p>
        <a:p>
          <a:r>
            <a:rPr lang="en-IN" sz="2000" b="1"/>
            <a:t>Total sales reached ₹12.47 Lakhs. </a:t>
          </a:r>
        </a:p>
        <a:p>
          <a:r>
            <a:rPr lang="en-IN" sz="2000" b="1"/>
            <a:t>Overall target achievement is 89.39%. </a:t>
          </a:r>
        </a:p>
        <a:p>
          <a:r>
            <a:rPr lang="en-IN" sz="2000" b="1"/>
            <a:t>Existing customers contribute more revenue than new customers. </a:t>
          </a:r>
        </a:p>
        <a:p>
          <a:r>
            <a:rPr lang="en-IN" sz="2000" b="1"/>
            <a:t>Sales performance shows fluctuations throughout the month. </a:t>
          </a:r>
        </a:p>
        <a:p>
          <a:r>
            <a:rPr lang="en-IN" sz="2000" b="1"/>
            <a:t>Furniture category contributes a smaller share compared to Electronics. </a:t>
          </a:r>
        </a:p>
        <a:p>
          <a:r>
            <a:rPr lang="en-IN" sz="2000" b="1"/>
            <a:t>Product demand is concentrated on Mobile and Laptop products.</a:t>
          </a:r>
        </a:p>
        <a:p>
          <a:endParaRPr lang="en-IN" sz="2000" b="1">
            <a:solidFill>
              <a:schemeClr val="tx1"/>
            </a:solidFill>
          </a:endParaRPr>
        </a:p>
      </xdr:txBody>
    </xdr:sp>
    <xdr:clientData/>
  </xdr:twoCellAnchor>
  <xdr:twoCellAnchor>
    <xdr:from>
      <xdr:col>10</xdr:col>
      <xdr:colOff>952500</xdr:colOff>
      <xdr:row>76</xdr:row>
      <xdr:rowOff>103911</xdr:rowOff>
    </xdr:from>
    <xdr:to>
      <xdr:col>17</xdr:col>
      <xdr:colOff>917864</xdr:colOff>
      <xdr:row>96</xdr:row>
      <xdr:rowOff>17320</xdr:rowOff>
    </xdr:to>
    <xdr:sp macro="" textlink="">
      <xdr:nvSpPr>
        <xdr:cNvPr id="1028" name="TextBox 1027">
          <a:extLst>
            <a:ext uri="{FF2B5EF4-FFF2-40B4-BE49-F238E27FC236}">
              <a16:creationId xmlns:a16="http://schemas.microsoft.com/office/drawing/2014/main" id="{543D0AF7-753A-3EB1-BF1D-EAAD5BE42B2D}"/>
            </a:ext>
          </a:extLst>
        </xdr:cNvPr>
        <xdr:cNvSpPr txBox="1"/>
      </xdr:nvSpPr>
      <xdr:spPr>
        <a:xfrm>
          <a:off x="12486409" y="14581911"/>
          <a:ext cx="8693728" cy="3723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rgbClr val="C00000"/>
              </a:solidFill>
            </a:rPr>
            <a:t>Recommendations</a:t>
          </a:r>
        </a:p>
        <a:p>
          <a:r>
            <a:rPr lang="en-IN" sz="2000" b="1"/>
            <a:t>Business Recommendations</a:t>
          </a:r>
        </a:p>
        <a:p>
          <a:r>
            <a:rPr lang="en-IN" sz="2000" b="1"/>
            <a:t>Increase inventory levels for Mobile and Laptop products. </a:t>
          </a:r>
        </a:p>
        <a:p>
          <a:r>
            <a:rPr lang="en-IN" sz="2000" b="1"/>
            <a:t>Focus on improving sales in the West region. </a:t>
          </a:r>
        </a:p>
        <a:p>
          <a:r>
            <a:rPr lang="en-IN" sz="2000" b="1"/>
            <a:t>Introduce incentives for top-performing salespersons. </a:t>
          </a:r>
        </a:p>
        <a:p>
          <a:r>
            <a:rPr lang="en-IN" sz="2000" b="1"/>
            <a:t>Increase marketing efforts for Furniture products. </a:t>
          </a:r>
        </a:p>
        <a:p>
          <a:r>
            <a:rPr lang="en-IN" sz="2000" b="1"/>
            <a:t>Launch campaigns to attract new customers. </a:t>
          </a:r>
        </a:p>
        <a:p>
          <a:r>
            <a:rPr lang="en-IN" sz="2000" b="1"/>
            <a:t>Improve target achievement from 89.39% to above 95%. </a:t>
          </a:r>
        </a:p>
        <a:p>
          <a:r>
            <a:rPr lang="en-IN" sz="2000" b="1"/>
            <a:t>Monitor daily sales fluctuations and identify low-sales periods. </a:t>
          </a:r>
        </a:p>
        <a:p>
          <a:r>
            <a:rPr lang="en-IN" sz="2000" b="1"/>
            <a:t>Promote cross-selling opportunities to existing customers. </a:t>
          </a:r>
        </a:p>
        <a:p>
          <a:r>
            <a:rPr lang="en-IN" sz="2000" b="1"/>
            <a:t>Expand Electronics product offerings.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834651620367" createdVersion="8" refreshedVersion="8" minRefreshableVersion="3" recordCount="20" xr:uid="{E229BDE6-6545-4AEF-B2A3-B8F5A6FBDE83}">
  <cacheSource type="worksheet">
    <worksheetSource name="Table1"/>
  </cacheSource>
  <cacheFields count="12">
    <cacheField name="Order_ID" numFmtId="0">
      <sharedItems containsSemiMixedTypes="0" containsString="0" containsNumber="1" containsInteger="1" minValue="1" maxValue="20"/>
    </cacheField>
    <cacheField name="Date" numFmtId="15">
      <sharedItems containsSemiMixedTypes="0" containsNonDate="0" containsDate="1" containsString="0" minDate="2026-01-01T00:00:00" maxDate="2026-01-21T00:00:00" count="2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sharedItems>
    </cacheField>
    <cacheField name="Region" numFmtId="0">
      <sharedItems count="4">
        <s v="North"/>
        <s v="South"/>
        <s v="East"/>
        <s v="West"/>
      </sharedItems>
    </cacheField>
    <cacheField name="Salesperson" numFmtId="0">
      <sharedItems count="4">
        <s v="Arun"/>
        <s v="Priya"/>
        <s v="Rahul"/>
        <s v="Sneha"/>
      </sharedItems>
    </cacheField>
    <cacheField name="Product" numFmtId="0">
      <sharedItems count="6">
        <s v="Laptop"/>
        <s v="Mobile"/>
        <s v="Chair"/>
        <s v="Table"/>
        <s v="Printer"/>
        <s v="Sofa"/>
      </sharedItems>
    </cacheField>
    <cacheField name="Category" numFmtId="0">
      <sharedItems count="2">
        <s v="Electronics"/>
        <s v="Furniture"/>
      </sharedItems>
    </cacheField>
    <cacheField name="Units" numFmtId="0">
      <sharedItems containsSemiMixedTypes="0" containsString="0" containsNumber="1" containsInteger="1" minValue="1" maxValue="12"/>
    </cacheField>
    <cacheField name="Unit_Price" numFmtId="0">
      <sharedItems containsSemiMixedTypes="0" containsString="0" containsNumber="1" containsInteger="1" minValue="3000" maxValue="50000"/>
    </cacheField>
    <cacheField name="Sales" numFmtId="0">
      <sharedItems containsSemiMixedTypes="0" containsString="0" containsNumber="1" containsInteger="1" minValue="21000" maxValue="150000" count="14">
        <n v="100000"/>
        <n v="30000"/>
        <n v="28000"/>
        <n v="36000"/>
        <n v="50000"/>
        <n v="120000"/>
        <n v="24000"/>
        <n v="21000"/>
        <n v="48000"/>
        <n v="25000"/>
        <n v="140000"/>
        <n v="80000"/>
        <n v="35000"/>
        <n v="150000"/>
      </sharedItems>
    </cacheField>
    <cacheField name="Target" numFmtId="0">
      <sharedItems containsSemiMixedTypes="0" containsString="0" containsNumber="1" containsInteger="1" minValue="25000" maxValue="160000"/>
    </cacheField>
    <cacheField name="Profit" numFmtId="0">
      <sharedItems containsSemiMixedTypes="0" containsString="0" containsNumber="1" containsInteger="1" minValue="5000" maxValue="40000"/>
    </cacheField>
    <cacheField name="Customer_Type" numFmtId="0">
      <sharedItems count="2">
        <s v="New"/>
        <s v="Existing"/>
      </sharedItems>
    </cacheField>
  </cacheFields>
  <extLst>
    <ext xmlns:x14="http://schemas.microsoft.com/office/spreadsheetml/2009/9/main" uri="{725AE2AE-9491-48be-B2B4-4EB974FC3084}">
      <x14:pivotCacheDefinition pivotCacheId="492500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x v="0"/>
    <x v="0"/>
    <x v="0"/>
    <x v="0"/>
    <n v="2"/>
    <n v="50000"/>
    <x v="0"/>
    <n v="120000"/>
    <n v="25000"/>
    <x v="0"/>
  </r>
  <r>
    <n v="2"/>
    <x v="1"/>
    <x v="1"/>
    <x v="1"/>
    <x v="1"/>
    <x v="0"/>
    <n v="5"/>
    <n v="20000"/>
    <x v="0"/>
    <n v="110000"/>
    <n v="20000"/>
    <x v="1"/>
  </r>
  <r>
    <n v="3"/>
    <x v="2"/>
    <x v="2"/>
    <x v="2"/>
    <x v="2"/>
    <x v="1"/>
    <n v="10"/>
    <n v="3000"/>
    <x v="1"/>
    <n v="35000"/>
    <n v="8000"/>
    <x v="0"/>
  </r>
  <r>
    <n v="4"/>
    <x v="3"/>
    <x v="3"/>
    <x v="3"/>
    <x v="3"/>
    <x v="1"/>
    <n v="4"/>
    <n v="7000"/>
    <x v="2"/>
    <n v="30000"/>
    <n v="7000"/>
    <x v="1"/>
  </r>
  <r>
    <n v="5"/>
    <x v="4"/>
    <x v="0"/>
    <x v="0"/>
    <x v="4"/>
    <x v="0"/>
    <n v="3"/>
    <n v="12000"/>
    <x v="3"/>
    <n v="40000"/>
    <n v="9000"/>
    <x v="0"/>
  </r>
  <r>
    <n v="6"/>
    <x v="5"/>
    <x v="1"/>
    <x v="1"/>
    <x v="5"/>
    <x v="1"/>
    <n v="2"/>
    <n v="25000"/>
    <x v="4"/>
    <n v="60000"/>
    <n v="12000"/>
    <x v="1"/>
  </r>
  <r>
    <n v="7"/>
    <x v="6"/>
    <x v="2"/>
    <x v="2"/>
    <x v="1"/>
    <x v="0"/>
    <n v="6"/>
    <n v="20000"/>
    <x v="5"/>
    <n v="130000"/>
    <n v="30000"/>
    <x v="0"/>
  </r>
  <r>
    <n v="8"/>
    <x v="7"/>
    <x v="3"/>
    <x v="3"/>
    <x v="2"/>
    <x v="1"/>
    <n v="8"/>
    <n v="3000"/>
    <x v="6"/>
    <n v="30000"/>
    <n v="6000"/>
    <x v="1"/>
  </r>
  <r>
    <n v="9"/>
    <x v="8"/>
    <x v="0"/>
    <x v="0"/>
    <x v="0"/>
    <x v="0"/>
    <n v="1"/>
    <n v="50000"/>
    <x v="4"/>
    <n v="60000"/>
    <n v="12000"/>
    <x v="0"/>
  </r>
  <r>
    <n v="10"/>
    <x v="9"/>
    <x v="1"/>
    <x v="1"/>
    <x v="3"/>
    <x v="1"/>
    <n v="3"/>
    <n v="7000"/>
    <x v="7"/>
    <n v="25000"/>
    <n v="5000"/>
    <x v="1"/>
  </r>
  <r>
    <n v="11"/>
    <x v="10"/>
    <x v="2"/>
    <x v="2"/>
    <x v="4"/>
    <x v="0"/>
    <n v="4"/>
    <n v="12000"/>
    <x v="8"/>
    <n v="50000"/>
    <n v="10000"/>
    <x v="0"/>
  </r>
  <r>
    <n v="12"/>
    <x v="11"/>
    <x v="3"/>
    <x v="3"/>
    <x v="5"/>
    <x v="1"/>
    <n v="1"/>
    <n v="25000"/>
    <x v="9"/>
    <n v="30000"/>
    <n v="7000"/>
    <x v="1"/>
  </r>
  <r>
    <n v="13"/>
    <x v="12"/>
    <x v="0"/>
    <x v="0"/>
    <x v="1"/>
    <x v="0"/>
    <n v="7"/>
    <n v="20000"/>
    <x v="10"/>
    <n v="150000"/>
    <n v="35000"/>
    <x v="0"/>
  </r>
  <r>
    <n v="14"/>
    <x v="13"/>
    <x v="1"/>
    <x v="1"/>
    <x v="2"/>
    <x v="1"/>
    <n v="12"/>
    <n v="3000"/>
    <x v="3"/>
    <n v="40000"/>
    <n v="9000"/>
    <x v="1"/>
  </r>
  <r>
    <n v="15"/>
    <x v="14"/>
    <x v="2"/>
    <x v="2"/>
    <x v="0"/>
    <x v="0"/>
    <n v="2"/>
    <n v="50000"/>
    <x v="0"/>
    <n v="110000"/>
    <n v="25000"/>
    <x v="0"/>
  </r>
  <r>
    <n v="16"/>
    <x v="15"/>
    <x v="3"/>
    <x v="3"/>
    <x v="4"/>
    <x v="0"/>
    <n v="2"/>
    <n v="12000"/>
    <x v="6"/>
    <n v="30000"/>
    <n v="6000"/>
    <x v="1"/>
  </r>
  <r>
    <n v="17"/>
    <x v="16"/>
    <x v="0"/>
    <x v="0"/>
    <x v="5"/>
    <x v="1"/>
    <n v="2"/>
    <n v="25000"/>
    <x v="4"/>
    <n v="55000"/>
    <n v="12000"/>
    <x v="0"/>
  </r>
  <r>
    <n v="18"/>
    <x v="17"/>
    <x v="1"/>
    <x v="1"/>
    <x v="1"/>
    <x v="0"/>
    <n v="4"/>
    <n v="20000"/>
    <x v="11"/>
    <n v="90000"/>
    <n v="18000"/>
    <x v="1"/>
  </r>
  <r>
    <n v="19"/>
    <x v="18"/>
    <x v="2"/>
    <x v="2"/>
    <x v="3"/>
    <x v="1"/>
    <n v="5"/>
    <n v="7000"/>
    <x v="12"/>
    <n v="40000"/>
    <n v="10000"/>
    <x v="0"/>
  </r>
  <r>
    <n v="20"/>
    <x v="19"/>
    <x v="3"/>
    <x v="3"/>
    <x v="0"/>
    <x v="0"/>
    <n v="3"/>
    <n v="50000"/>
    <x v="13"/>
    <n v="160000"/>
    <n v="4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E46817-0388-4B2E-A505-5F6F3B8E15D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ate">
  <location ref="I18:J39" firstHeaderRow="1" firstDataRow="1" firstDataCol="1"/>
  <pivotFields count="12">
    <pivotField showAll="0"/>
    <pivotField axis="axisRow"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92DD71-E4C9-451A-B3D5-42494E61CA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_Type">
  <location ref="F18:G21" firstHeaderRow="1" firstDataRow="1" firstDataCol="1"/>
  <pivotFields count="12">
    <pivotField showAll="0"/>
    <pivotField numFmtId="15" showAll="0"/>
    <pivotField showAll="0"/>
    <pivotField showAll="0"/>
    <pivotField showAll="0"/>
    <pivotField showAll="0"/>
    <pivotField showAll="0"/>
    <pivotField showAll="0"/>
    <pivotField dataField="1" showAll="0"/>
    <pivotField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Sum of Sales" fld="8"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807686-8015-42EE-A47C-4662F4257F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B18:D25" firstHeaderRow="0" firstDataRow="1" firstDataCol="1"/>
  <pivotFields count="12">
    <pivotField showAll="0"/>
    <pivotField numFmtId="15" showAll="0"/>
    <pivotField showAll="0"/>
    <pivotField showAll="0"/>
    <pivotField axis="axisRow" showAll="0">
      <items count="7">
        <item x="2"/>
        <item x="0"/>
        <item x="1"/>
        <item x="4"/>
        <item x="5"/>
        <item x="3"/>
        <item t="default"/>
      </items>
    </pivotField>
    <pivotField showAll="0"/>
    <pivotField dataField="1" showAll="0"/>
    <pivotField showAll="0"/>
    <pivotField dataField="1" showAll="0"/>
    <pivotField showAll="0"/>
    <pivotField showAll="0"/>
    <pivotField showAll="0"/>
  </pivotFields>
  <rowFields count="1">
    <field x="4"/>
  </rowFields>
  <rowItems count="7">
    <i>
      <x/>
    </i>
    <i>
      <x v="1"/>
    </i>
    <i>
      <x v="2"/>
    </i>
    <i>
      <x v="3"/>
    </i>
    <i>
      <x v="4"/>
    </i>
    <i>
      <x v="5"/>
    </i>
    <i t="grand">
      <x/>
    </i>
  </rowItems>
  <colFields count="1">
    <field x="-2"/>
  </colFields>
  <colItems count="2">
    <i>
      <x/>
    </i>
    <i i="1">
      <x v="1"/>
    </i>
  </colItems>
  <dataFields count="2">
    <dataField name="Sum of Sales" fld="8" baseField="0" baseItem="0"/>
    <dataField name="Sum of Units"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F209C9-E59A-44D7-963B-5F4BF6197A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person">
  <location ref="H5:J10" firstHeaderRow="0" firstDataRow="1" firstDataCol="1"/>
  <pivotFields count="12">
    <pivotField showAll="0"/>
    <pivotField numFmtId="15"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dataField="1" showAll="0"/>
    <pivotField showAll="0"/>
  </pivotFields>
  <rowFields count="1">
    <field x="3"/>
  </rowFields>
  <rowItems count="5">
    <i>
      <x/>
    </i>
    <i>
      <x v="1"/>
    </i>
    <i>
      <x v="2"/>
    </i>
    <i>
      <x v="3"/>
    </i>
    <i t="grand">
      <x/>
    </i>
  </rowItems>
  <colFields count="1">
    <field x="-2"/>
  </colFields>
  <colItems count="2">
    <i>
      <x/>
    </i>
    <i i="1">
      <x v="1"/>
    </i>
  </colItems>
  <dataFields count="2">
    <dataField name="Sum of Sales" fld="8" baseField="0" baseItem="0"/>
    <dataField name="Sum of Profit" fld="10"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2F7246-3ED9-445C-BB57-AD57247928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5:F8" firstHeaderRow="1" firstDataRow="1" firstDataCol="1"/>
  <pivotFields count="12">
    <pivotField showAll="0"/>
    <pivotField numFmtId="15" showAll="0"/>
    <pivotField showAll="0"/>
    <pivotField showAll="0"/>
    <pivotField showAll="0"/>
    <pivotField axis="axisRow" showAll="0">
      <items count="3">
        <item x="0"/>
        <item x="1"/>
        <item t="default"/>
      </items>
    </pivotField>
    <pivotField showAll="0"/>
    <pivotField showAll="0"/>
    <pivotField dataField="1" showAll="0">
      <items count="15">
        <item x="7"/>
        <item x="6"/>
        <item x="9"/>
        <item x="2"/>
        <item x="1"/>
        <item x="12"/>
        <item x="3"/>
        <item x="8"/>
        <item x="4"/>
        <item x="11"/>
        <item x="0"/>
        <item x="5"/>
        <item x="10"/>
        <item x="13"/>
        <item t="default"/>
      </items>
    </pivotField>
    <pivotField showAll="0"/>
    <pivotField showAll="0"/>
    <pivotField showAll="0"/>
  </pivotFields>
  <rowFields count="1">
    <field x="5"/>
  </rowFields>
  <rowItems count="3">
    <i>
      <x/>
    </i>
    <i>
      <x v="1"/>
    </i>
    <i t="grand">
      <x/>
    </i>
  </rowItems>
  <colItems count="1">
    <i/>
  </colItems>
  <dataFields count="1">
    <dataField name="Sum of Sales" fld="8"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BF824B-FA0C-4B41-867E-0237908F46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B5:C10" firstHeaderRow="1" firstDataRow="1" firstDataCol="1"/>
  <pivotFields count="12">
    <pivotField showAll="0"/>
    <pivotField numFmtId="15" showAll="0"/>
    <pivotField axis="axisRow" showAll="0">
      <items count="5">
        <item x="2"/>
        <item x="0"/>
        <item x="1"/>
        <item x="3"/>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36F37-07E2-4374-BF45-D896F94787DB}" sourceName="Region">
  <pivotTables>
    <pivotTable tabId="2" name="PivotTable1"/>
  </pivotTables>
  <data>
    <tabular pivotCacheId="49250079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EB45A7-4CF9-40D3-9C21-D23275FCAE66}" sourceName="Category">
  <pivotTables>
    <pivotTable tabId="2" name="PivotTable2"/>
  </pivotTables>
  <data>
    <tabular pivotCacheId="49250079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7B7CE17-A405-417C-9FAE-0C128E4BA26D}" sourceName="Salesperson">
  <pivotTables>
    <pivotTable tabId="2" name="PivotTable3"/>
  </pivotTables>
  <data>
    <tabular pivotCacheId="492500795">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3AECAA5-596E-4C89-B257-6F726430911F}" sourceName="Customer_Type">
  <pivotTables>
    <pivotTable tabId="2" name="PivotTable5"/>
  </pivotTables>
  <data>
    <tabular pivotCacheId="4925007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4A42C494-C2E9-47E5-9C08-D46F16162038}" cache="Slicer_Customer_Type" caption="Customer_Type"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BF59393-CCBA-497D-8488-7ADC7A63808C}" cache="Slicer_Region" caption="Region" style="SlicerStyleDark5" rowHeight="241300"/>
  <slicer name="Category" xr10:uid="{2D5BCE6D-29A0-41DA-855A-5DF8D4B88548}" cache="Slicer_Category" caption="Category" style="SlicerStyleDark5" rowHeight="241300"/>
  <slicer name="Salesperson" xr10:uid="{ACDA8A46-E0A4-43DD-98DD-3EC2B25D7F5A}" cache="Slicer_Salesperson" caption="Salesperson" style="SlicerStyleDark5" rowHeight="241300"/>
  <slicer name="Customer_Type 1" xr10:uid="{CEC7BBD4-48C0-40CE-89F8-E78A559D055F}" cache="Slicer_Customer_Type" caption="Customer_Typ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69F6FB-13DF-4E17-A7A2-EFF06853ACCA}" name="Table1" displayName="Table1" ref="A1:L22" totalsRowShown="0" headerRowDxfId="16" dataDxfId="15">
  <autoFilter ref="A1:L22" xr:uid="{5269F6FB-13DF-4E17-A7A2-EFF06853ACCA}"/>
  <tableColumns count="12">
    <tableColumn id="1" xr3:uid="{DCC2DB99-5923-4BDB-9D59-12FC0FDA5E4B}" name="Order_ID" dataDxfId="14"/>
    <tableColumn id="2" xr3:uid="{D81690C6-8627-4022-86DB-5142C5841CC2}" name="Date" dataDxfId="13"/>
    <tableColumn id="3" xr3:uid="{B11FCA8E-BFD7-40BC-82F1-FE1EEADD5EFF}" name="Region" dataDxfId="12"/>
    <tableColumn id="4" xr3:uid="{2164FC94-D3A7-457B-B122-98EF3AC30DE3}" name="Salesperson" dataDxfId="11"/>
    <tableColumn id="5" xr3:uid="{51EABC86-26FF-45A1-9551-66847AF2765D}" name="Product" dataDxfId="10"/>
    <tableColumn id="6" xr3:uid="{E02CAE7B-7BAA-443E-9C79-02AA5C2C0EEB}" name="Category" dataDxfId="9"/>
    <tableColumn id="7" xr3:uid="{E7D9D9B5-42AE-4F88-BB99-56123042A023}" name="Units" dataDxfId="8"/>
    <tableColumn id="8" xr3:uid="{41C19AE7-2425-4A53-ACEF-68E506DA0D37}" name="Unit_Price" dataDxfId="7"/>
    <tableColumn id="9" xr3:uid="{4625CD17-D2FC-4B40-A037-6E5DB6565719}" name="Sales" dataDxfId="6"/>
    <tableColumn id="10" xr3:uid="{6B363E9D-1CC2-4C54-A11F-A1A7E5A307FF}" name="Target" dataDxfId="5"/>
    <tableColumn id="11" xr3:uid="{62ECEB28-4525-4DBA-930B-E06405FDDC16}" name="Profit" dataDxfId="4"/>
    <tableColumn id="12" xr3:uid="{CF8F0AEB-3919-435A-8864-120D24DFB3AA}" name="Customer_Typ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A9FED5B-67FF-4030-BFC2-384EC83A8BAC}" sourceName="Date">
  <pivotTables>
    <pivotTable tabId="2" name="PivotTable6"/>
  </pivotTables>
  <state minimalRefreshVersion="6" lastRefreshVersion="6" pivotCacheId="49250079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A2F66D5-D71F-471B-98D1-E79527417E6F}" cache="NativeTimeline_Date" caption="Date" level="2" selectionLevel="2" scrollPosition="2026-06-07T00:00:00" style="TimeSlicerStyleDark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98A8EE-5BA1-4A59-B245-0F3FCABE9C73}">
  <we:reference id="wa200005502" version="1.0.0.13" store="en-IN" storeType="OMEX"/>
  <we:alternateReferences>
    <we:reference id="WA200005502" version="1.0.0.13" store="WA200005502" storeType="OMEX"/>
  </we:alternateReferences>
  <we:properties>
    <we:property name="docId" value="&quot;n0fG1AYTtmfubqUgNDLI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8A51-4BE8-401E-9488-529138E72BCC}">
  <dimension ref="B3:J39"/>
  <sheetViews>
    <sheetView topLeftCell="A20" workbookViewId="0">
      <selection activeCell="S55" sqref="S55"/>
    </sheetView>
  </sheetViews>
  <sheetFormatPr defaultRowHeight="15" x14ac:dyDescent="0.25"/>
  <cols>
    <col min="1" max="1" width="13.140625" bestFit="1" customWidth="1"/>
    <col min="2" max="2" width="11.28515625" bestFit="1" customWidth="1"/>
    <col min="3" max="3" width="12.140625" bestFit="1" customWidth="1"/>
    <col min="4" max="4" width="12" customWidth="1"/>
    <col min="5" max="5" width="11.28515625" bestFit="1" customWidth="1"/>
    <col min="6" max="6" width="17.28515625" bestFit="1" customWidth="1"/>
    <col min="7" max="7" width="12.140625" bestFit="1" customWidth="1"/>
    <col min="8" max="8" width="14" bestFit="1" customWidth="1"/>
    <col min="9" max="9" width="12.140625" bestFit="1" customWidth="1"/>
    <col min="10" max="10" width="12.5703125" bestFit="1" customWidth="1"/>
    <col min="14" max="14" width="13.140625" bestFit="1" customWidth="1"/>
    <col min="15" max="15" width="12.140625" bestFit="1" customWidth="1"/>
    <col min="16" max="16" width="12.28515625" bestFit="1" customWidth="1"/>
    <col min="17" max="17" width="12.140625" bestFit="1" customWidth="1"/>
    <col min="18" max="18" width="12.5703125" bestFit="1" customWidth="1"/>
    <col min="20" max="20" width="13.140625" bestFit="1" customWidth="1"/>
    <col min="21" max="21" width="12.140625" bestFit="1" customWidth="1"/>
    <col min="23" max="23" width="13.140625" bestFit="1" customWidth="1"/>
    <col min="24" max="24" width="12.140625" bestFit="1" customWidth="1"/>
  </cols>
  <sheetData>
    <row r="3" spans="2:10" ht="21" x14ac:dyDescent="0.35">
      <c r="B3" s="13" t="s">
        <v>34</v>
      </c>
      <c r="C3" s="14"/>
      <c r="E3" s="13" t="s">
        <v>35</v>
      </c>
      <c r="F3" s="14"/>
      <c r="H3" s="13" t="s">
        <v>36</v>
      </c>
      <c r="I3" s="14"/>
      <c r="J3" s="14"/>
    </row>
    <row r="5" spans="2:10" x14ac:dyDescent="0.25">
      <c r="B5" s="4" t="s">
        <v>2</v>
      </c>
      <c r="C5" t="s">
        <v>31</v>
      </c>
      <c r="E5" s="4" t="s">
        <v>5</v>
      </c>
      <c r="F5" t="s">
        <v>31</v>
      </c>
      <c r="H5" s="4" t="s">
        <v>3</v>
      </c>
      <c r="I5" t="s">
        <v>31</v>
      </c>
      <c r="J5" t="s">
        <v>32</v>
      </c>
    </row>
    <row r="6" spans="2:10" x14ac:dyDescent="0.25">
      <c r="B6" s="5" t="s">
        <v>17</v>
      </c>
      <c r="C6" s="17">
        <v>333000</v>
      </c>
      <c r="E6" s="5" t="s">
        <v>13</v>
      </c>
      <c r="F6" s="17">
        <v>948000</v>
      </c>
      <c r="H6" s="5" t="s">
        <v>11</v>
      </c>
      <c r="I6" s="17">
        <v>376000</v>
      </c>
      <c r="J6" s="17">
        <v>93000</v>
      </c>
    </row>
    <row r="7" spans="2:10" x14ac:dyDescent="0.25">
      <c r="B7" s="5" t="s">
        <v>10</v>
      </c>
      <c r="C7" s="17">
        <v>376000</v>
      </c>
      <c r="E7" s="5" t="s">
        <v>20</v>
      </c>
      <c r="F7" s="17">
        <v>299000</v>
      </c>
      <c r="H7" s="5" t="s">
        <v>15</v>
      </c>
      <c r="I7" s="17">
        <v>287000</v>
      </c>
      <c r="J7" s="17">
        <v>64000</v>
      </c>
    </row>
    <row r="8" spans="2:10" x14ac:dyDescent="0.25">
      <c r="B8" s="5" t="s">
        <v>14</v>
      </c>
      <c r="C8" s="17">
        <v>287000</v>
      </c>
      <c r="E8" s="5" t="s">
        <v>30</v>
      </c>
      <c r="F8" s="17">
        <v>1247000</v>
      </c>
      <c r="H8" s="5" t="s">
        <v>18</v>
      </c>
      <c r="I8" s="17">
        <v>333000</v>
      </c>
      <c r="J8" s="17">
        <v>83000</v>
      </c>
    </row>
    <row r="9" spans="2:10" x14ac:dyDescent="0.25">
      <c r="B9" s="5" t="s">
        <v>21</v>
      </c>
      <c r="C9" s="17">
        <v>251000</v>
      </c>
      <c r="H9" s="5" t="s">
        <v>22</v>
      </c>
      <c r="I9" s="17">
        <v>251000</v>
      </c>
      <c r="J9" s="17">
        <v>66000</v>
      </c>
    </row>
    <row r="10" spans="2:10" x14ac:dyDescent="0.25">
      <c r="B10" s="5" t="s">
        <v>30</v>
      </c>
      <c r="C10" s="17">
        <v>1247000</v>
      </c>
      <c r="H10" s="5" t="s">
        <v>30</v>
      </c>
      <c r="I10" s="17">
        <v>1247000</v>
      </c>
      <c r="J10" s="17">
        <v>306000</v>
      </c>
    </row>
    <row r="16" spans="2:10" ht="21" x14ac:dyDescent="0.35">
      <c r="B16" s="13" t="s">
        <v>37</v>
      </c>
      <c r="C16" s="14"/>
      <c r="D16" s="14"/>
      <c r="F16" s="13" t="s">
        <v>38</v>
      </c>
      <c r="G16" s="14"/>
      <c r="I16" s="13" t="s">
        <v>39</v>
      </c>
      <c r="J16" s="14"/>
    </row>
    <row r="18" spans="2:10" x14ac:dyDescent="0.25">
      <c r="B18" s="4" t="s">
        <v>4</v>
      </c>
      <c r="C18" t="s">
        <v>31</v>
      </c>
      <c r="D18" t="s">
        <v>33</v>
      </c>
      <c r="F18" s="4" t="s">
        <v>27</v>
      </c>
      <c r="G18" t="s">
        <v>31</v>
      </c>
      <c r="I18" s="4" t="s">
        <v>1</v>
      </c>
      <c r="J18" t="s">
        <v>31</v>
      </c>
    </row>
    <row r="19" spans="2:10" x14ac:dyDescent="0.25">
      <c r="B19" s="5" t="s">
        <v>19</v>
      </c>
      <c r="C19">
        <v>90000</v>
      </c>
      <c r="D19">
        <v>30</v>
      </c>
      <c r="F19" s="5" t="s">
        <v>29</v>
      </c>
      <c r="G19" s="17">
        <v>538000</v>
      </c>
      <c r="I19" s="6">
        <v>46023</v>
      </c>
      <c r="J19" s="17">
        <v>100000</v>
      </c>
    </row>
    <row r="20" spans="2:10" x14ac:dyDescent="0.25">
      <c r="B20" s="5" t="s">
        <v>12</v>
      </c>
      <c r="C20">
        <v>400000</v>
      </c>
      <c r="D20">
        <v>8</v>
      </c>
      <c r="F20" s="5" t="s">
        <v>28</v>
      </c>
      <c r="G20" s="17">
        <v>709000</v>
      </c>
      <c r="I20" s="6">
        <v>46024</v>
      </c>
      <c r="J20" s="17">
        <v>100000</v>
      </c>
    </row>
    <row r="21" spans="2:10" x14ac:dyDescent="0.25">
      <c r="B21" s="5" t="s">
        <v>16</v>
      </c>
      <c r="C21">
        <v>440000</v>
      </c>
      <c r="D21">
        <v>22</v>
      </c>
      <c r="F21" s="5" t="s">
        <v>30</v>
      </c>
      <c r="G21" s="17">
        <v>1247000</v>
      </c>
      <c r="I21" s="6">
        <v>46025</v>
      </c>
      <c r="J21" s="17">
        <v>30000</v>
      </c>
    </row>
    <row r="22" spans="2:10" x14ac:dyDescent="0.25">
      <c r="B22" s="5" t="s">
        <v>24</v>
      </c>
      <c r="C22">
        <v>108000</v>
      </c>
      <c r="D22">
        <v>9</v>
      </c>
      <c r="I22" s="6">
        <v>46026</v>
      </c>
      <c r="J22" s="17">
        <v>28000</v>
      </c>
    </row>
    <row r="23" spans="2:10" x14ac:dyDescent="0.25">
      <c r="B23" s="5" t="s">
        <v>25</v>
      </c>
      <c r="C23">
        <v>125000</v>
      </c>
      <c r="D23">
        <v>5</v>
      </c>
      <c r="I23" s="6">
        <v>46027</v>
      </c>
      <c r="J23" s="17">
        <v>36000</v>
      </c>
    </row>
    <row r="24" spans="2:10" x14ac:dyDescent="0.25">
      <c r="B24" s="5" t="s">
        <v>23</v>
      </c>
      <c r="C24">
        <v>84000</v>
      </c>
      <c r="D24">
        <v>12</v>
      </c>
      <c r="I24" s="6">
        <v>46028</v>
      </c>
      <c r="J24" s="17">
        <v>50000</v>
      </c>
    </row>
    <row r="25" spans="2:10" x14ac:dyDescent="0.25">
      <c r="B25" s="5" t="s">
        <v>30</v>
      </c>
      <c r="C25">
        <v>1247000</v>
      </c>
      <c r="D25">
        <v>86</v>
      </c>
      <c r="I25" s="6">
        <v>46029</v>
      </c>
      <c r="J25" s="17">
        <v>120000</v>
      </c>
    </row>
    <row r="26" spans="2:10" x14ac:dyDescent="0.25">
      <c r="I26" s="6">
        <v>46030</v>
      </c>
      <c r="J26" s="17">
        <v>24000</v>
      </c>
    </row>
    <row r="27" spans="2:10" x14ac:dyDescent="0.25">
      <c r="I27" s="6">
        <v>46031</v>
      </c>
      <c r="J27" s="17">
        <v>50000</v>
      </c>
    </row>
    <row r="28" spans="2:10" x14ac:dyDescent="0.25">
      <c r="I28" s="6">
        <v>46032</v>
      </c>
      <c r="J28" s="17">
        <v>21000</v>
      </c>
    </row>
    <row r="29" spans="2:10" x14ac:dyDescent="0.25">
      <c r="I29" s="6">
        <v>46033</v>
      </c>
      <c r="J29" s="17">
        <v>48000</v>
      </c>
    </row>
    <row r="30" spans="2:10" x14ac:dyDescent="0.25">
      <c r="I30" s="6">
        <v>46034</v>
      </c>
      <c r="J30" s="17">
        <v>25000</v>
      </c>
    </row>
    <row r="31" spans="2:10" x14ac:dyDescent="0.25">
      <c r="I31" s="6">
        <v>46035</v>
      </c>
      <c r="J31" s="17">
        <v>140000</v>
      </c>
    </row>
    <row r="32" spans="2:10" x14ac:dyDescent="0.25">
      <c r="I32" s="6">
        <v>46036</v>
      </c>
      <c r="J32" s="17">
        <v>36000</v>
      </c>
    </row>
    <row r="33" spans="9:10" x14ac:dyDescent="0.25">
      <c r="I33" s="6">
        <v>46037</v>
      </c>
      <c r="J33" s="17">
        <v>100000</v>
      </c>
    </row>
    <row r="34" spans="9:10" x14ac:dyDescent="0.25">
      <c r="I34" s="6">
        <v>46038</v>
      </c>
      <c r="J34" s="17">
        <v>24000</v>
      </c>
    </row>
    <row r="35" spans="9:10" x14ac:dyDescent="0.25">
      <c r="I35" s="6">
        <v>46039</v>
      </c>
      <c r="J35" s="17">
        <v>50000</v>
      </c>
    </row>
    <row r="36" spans="9:10" x14ac:dyDescent="0.25">
      <c r="I36" s="6">
        <v>46040</v>
      </c>
      <c r="J36" s="17">
        <v>80000</v>
      </c>
    </row>
    <row r="37" spans="9:10" x14ac:dyDescent="0.25">
      <c r="I37" s="6">
        <v>46041</v>
      </c>
      <c r="J37" s="17">
        <v>35000</v>
      </c>
    </row>
    <row r="38" spans="9:10" x14ac:dyDescent="0.25">
      <c r="I38" s="6">
        <v>46042</v>
      </c>
      <c r="J38" s="17">
        <v>150000</v>
      </c>
    </row>
    <row r="39" spans="9:10" x14ac:dyDescent="0.25">
      <c r="I39" s="6" t="s">
        <v>30</v>
      </c>
      <c r="J39" s="17">
        <v>1247000</v>
      </c>
    </row>
  </sheetData>
  <mergeCells count="6">
    <mergeCell ref="E3:F3"/>
    <mergeCell ref="H3:J3"/>
    <mergeCell ref="B16:D16"/>
    <mergeCell ref="F16:G16"/>
    <mergeCell ref="I16:J16"/>
    <mergeCell ref="B3:C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9757-3DFA-4F60-867E-A7ECA338D20F}">
  <dimension ref="A2:Z6"/>
  <sheetViews>
    <sheetView showGridLines="0" tabSelected="1" topLeftCell="A76" zoomScale="55" zoomScaleNormal="55" workbookViewId="0">
      <selection activeCell="R101" sqref="R101"/>
    </sheetView>
  </sheetViews>
  <sheetFormatPr defaultRowHeight="15" x14ac:dyDescent="0.25"/>
  <cols>
    <col min="1" max="1" width="4.7109375" style="8" customWidth="1"/>
    <col min="2" max="2" width="18.7109375" style="9" customWidth="1"/>
    <col min="3" max="19" width="18.7109375" style="7" customWidth="1"/>
    <col min="20" max="25" width="9.140625" style="7"/>
    <col min="26" max="26" width="14.140625" style="7" bestFit="1" customWidth="1"/>
    <col min="27" max="16384" width="9.140625" style="7"/>
  </cols>
  <sheetData>
    <row r="2" spans="4:26" x14ac:dyDescent="0.25">
      <c r="D2" s="15" t="s">
        <v>40</v>
      </c>
      <c r="E2" s="16"/>
      <c r="F2" s="16"/>
      <c r="G2" s="16"/>
      <c r="H2" s="16"/>
      <c r="I2" s="16"/>
      <c r="J2" s="16"/>
      <c r="K2" s="16"/>
      <c r="L2" s="16"/>
      <c r="M2" s="16"/>
      <c r="N2" s="16"/>
      <c r="O2" s="16"/>
      <c r="P2" s="16"/>
      <c r="Q2" s="16"/>
      <c r="Z2" s="10">
        <f>SUM('salesdata '!I2:I21)</f>
        <v>1247000</v>
      </c>
    </row>
    <row r="3" spans="4:26" x14ac:dyDescent="0.25">
      <c r="D3" s="16"/>
      <c r="E3" s="16"/>
      <c r="F3" s="16"/>
      <c r="G3" s="16"/>
      <c r="H3" s="16"/>
      <c r="I3" s="16"/>
      <c r="J3" s="16"/>
      <c r="K3" s="16"/>
      <c r="L3" s="16"/>
      <c r="M3" s="16"/>
      <c r="N3" s="16"/>
      <c r="O3" s="16"/>
      <c r="P3" s="16"/>
      <c r="Q3" s="16"/>
      <c r="Z3">
        <f>COUNTA('salesdata '!A1:A21)-1</f>
        <v>20</v>
      </c>
    </row>
    <row r="4" spans="4:26" x14ac:dyDescent="0.25">
      <c r="Z4" s="11">
        <f>SUM('salesdata '!K2:K21)</f>
        <v>306000</v>
      </c>
    </row>
    <row r="5" spans="4:26" x14ac:dyDescent="0.25">
      <c r="Z5">
        <f>SUM('salesdata '!G2:G21)</f>
        <v>86</v>
      </c>
    </row>
    <row r="6" spans="4:26" x14ac:dyDescent="0.25">
      <c r="Z6" s="12">
        <f>SUM('salesdata '!I2:I21)/SUM('salesdata '!J2:J21)</f>
        <v>0.89390681003584227</v>
      </c>
    </row>
  </sheetData>
  <mergeCells count="1">
    <mergeCell ref="D2:Q3"/>
  </mergeCells>
  <pageMargins left="0.7" right="0.7" top="0.75" bottom="0.75" header="0.3" footer="0.3"/>
  <pageSetup paperSize="9" orientation="landscape" horizontalDpi="0"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4C50-C2F8-42CC-8C6E-2080DA0AFB21}">
  <dimension ref="A1:L22"/>
  <sheetViews>
    <sheetView workbookViewId="0">
      <selection activeCell="I22" sqref="I22"/>
    </sheetView>
  </sheetViews>
  <sheetFormatPr defaultRowHeight="15" x14ac:dyDescent="0.25"/>
  <cols>
    <col min="1" max="1" width="14.28515625" customWidth="1"/>
    <col min="2" max="2" width="14" customWidth="1"/>
    <col min="3" max="3" width="14.28515625" customWidth="1"/>
    <col min="4" max="4" width="13.85546875" customWidth="1"/>
    <col min="5" max="5" width="15.5703125" customWidth="1"/>
    <col min="6" max="6" width="16.140625" customWidth="1"/>
    <col min="7" max="7" width="13.28515625" customWidth="1"/>
    <col min="8" max="8" width="12.85546875" customWidth="1"/>
    <col min="9" max="9" width="12.5703125" customWidth="1"/>
    <col min="10" max="10" width="13.7109375" customWidth="1"/>
    <col min="11" max="11" width="10.140625" customWidth="1"/>
    <col min="12" max="12" width="17" customWidth="1"/>
  </cols>
  <sheetData>
    <row r="1" spans="1:12" x14ac:dyDescent="0.25">
      <c r="A1" s="1" t="s">
        <v>0</v>
      </c>
      <c r="B1" s="1" t="s">
        <v>1</v>
      </c>
      <c r="C1" s="1" t="s">
        <v>2</v>
      </c>
      <c r="D1" s="1" t="s">
        <v>3</v>
      </c>
      <c r="E1" s="1" t="s">
        <v>4</v>
      </c>
      <c r="F1" s="1" t="s">
        <v>5</v>
      </c>
      <c r="G1" s="1" t="s">
        <v>6</v>
      </c>
      <c r="H1" s="1" t="s">
        <v>7</v>
      </c>
      <c r="I1" s="1" t="s">
        <v>8</v>
      </c>
      <c r="J1" s="1" t="s">
        <v>9</v>
      </c>
      <c r="K1" s="1" t="s">
        <v>26</v>
      </c>
      <c r="L1" s="1" t="s">
        <v>27</v>
      </c>
    </row>
    <row r="2" spans="1:12" x14ac:dyDescent="0.25">
      <c r="A2" s="2">
        <v>1</v>
      </c>
      <c r="B2" s="3">
        <v>46023</v>
      </c>
      <c r="C2" s="2" t="s">
        <v>10</v>
      </c>
      <c r="D2" s="2" t="s">
        <v>11</v>
      </c>
      <c r="E2" s="2" t="s">
        <v>12</v>
      </c>
      <c r="F2" s="2" t="s">
        <v>13</v>
      </c>
      <c r="G2" s="2">
        <v>2</v>
      </c>
      <c r="H2" s="2">
        <v>50000</v>
      </c>
      <c r="I2" s="2">
        <v>100000</v>
      </c>
      <c r="J2" s="2">
        <v>120000</v>
      </c>
      <c r="K2" s="2">
        <v>25000</v>
      </c>
      <c r="L2" s="2" t="s">
        <v>28</v>
      </c>
    </row>
    <row r="3" spans="1:12" x14ac:dyDescent="0.25">
      <c r="A3" s="2">
        <v>2</v>
      </c>
      <c r="B3" s="3">
        <v>46024</v>
      </c>
      <c r="C3" s="2" t="s">
        <v>14</v>
      </c>
      <c r="D3" s="2" t="s">
        <v>15</v>
      </c>
      <c r="E3" s="2" t="s">
        <v>16</v>
      </c>
      <c r="F3" s="2" t="s">
        <v>13</v>
      </c>
      <c r="G3" s="2">
        <v>5</v>
      </c>
      <c r="H3" s="2">
        <v>20000</v>
      </c>
      <c r="I3" s="2">
        <v>100000</v>
      </c>
      <c r="J3" s="2">
        <v>110000</v>
      </c>
      <c r="K3" s="2">
        <v>20000</v>
      </c>
      <c r="L3" s="2" t="s">
        <v>29</v>
      </c>
    </row>
    <row r="4" spans="1:12" x14ac:dyDescent="0.25">
      <c r="A4" s="2">
        <v>3</v>
      </c>
      <c r="B4" s="3">
        <v>46025</v>
      </c>
      <c r="C4" s="2" t="s">
        <v>17</v>
      </c>
      <c r="D4" s="2" t="s">
        <v>18</v>
      </c>
      <c r="E4" s="2" t="s">
        <v>19</v>
      </c>
      <c r="F4" s="2" t="s">
        <v>20</v>
      </c>
      <c r="G4" s="2">
        <v>10</v>
      </c>
      <c r="H4" s="2">
        <v>3000</v>
      </c>
      <c r="I4" s="2">
        <v>30000</v>
      </c>
      <c r="J4" s="2">
        <v>35000</v>
      </c>
      <c r="K4" s="2">
        <v>8000</v>
      </c>
      <c r="L4" s="2" t="s">
        <v>28</v>
      </c>
    </row>
    <row r="5" spans="1:12" x14ac:dyDescent="0.25">
      <c r="A5" s="2">
        <v>4</v>
      </c>
      <c r="B5" s="3">
        <v>46026</v>
      </c>
      <c r="C5" s="2" t="s">
        <v>21</v>
      </c>
      <c r="D5" s="2" t="s">
        <v>22</v>
      </c>
      <c r="E5" s="2" t="s">
        <v>23</v>
      </c>
      <c r="F5" s="2" t="s">
        <v>20</v>
      </c>
      <c r="G5" s="2">
        <v>4</v>
      </c>
      <c r="H5" s="2">
        <v>7000</v>
      </c>
      <c r="I5" s="2">
        <v>28000</v>
      </c>
      <c r="J5" s="2">
        <v>30000</v>
      </c>
      <c r="K5" s="2">
        <v>7000</v>
      </c>
      <c r="L5" s="2" t="s">
        <v>29</v>
      </c>
    </row>
    <row r="6" spans="1:12" x14ac:dyDescent="0.25">
      <c r="A6" s="2">
        <v>5</v>
      </c>
      <c r="B6" s="3">
        <v>46027</v>
      </c>
      <c r="C6" s="2" t="s">
        <v>10</v>
      </c>
      <c r="D6" s="2" t="s">
        <v>11</v>
      </c>
      <c r="E6" s="2" t="s">
        <v>24</v>
      </c>
      <c r="F6" s="2" t="s">
        <v>13</v>
      </c>
      <c r="G6" s="2">
        <v>3</v>
      </c>
      <c r="H6" s="2">
        <v>12000</v>
      </c>
      <c r="I6" s="2">
        <v>36000</v>
      </c>
      <c r="J6" s="2">
        <v>40000</v>
      </c>
      <c r="K6" s="2">
        <v>9000</v>
      </c>
      <c r="L6" s="2" t="s">
        <v>28</v>
      </c>
    </row>
    <row r="7" spans="1:12" x14ac:dyDescent="0.25">
      <c r="A7" s="2">
        <v>6</v>
      </c>
      <c r="B7" s="3">
        <v>46028</v>
      </c>
      <c r="C7" s="2" t="s">
        <v>14</v>
      </c>
      <c r="D7" s="2" t="s">
        <v>15</v>
      </c>
      <c r="E7" s="2" t="s">
        <v>25</v>
      </c>
      <c r="F7" s="2" t="s">
        <v>20</v>
      </c>
      <c r="G7" s="2">
        <v>2</v>
      </c>
      <c r="H7" s="2">
        <v>25000</v>
      </c>
      <c r="I7" s="2">
        <v>50000</v>
      </c>
      <c r="J7" s="2">
        <v>60000</v>
      </c>
      <c r="K7" s="2">
        <v>12000</v>
      </c>
      <c r="L7" s="2" t="s">
        <v>29</v>
      </c>
    </row>
    <row r="8" spans="1:12" x14ac:dyDescent="0.25">
      <c r="A8" s="2">
        <v>7</v>
      </c>
      <c r="B8" s="3">
        <v>46029</v>
      </c>
      <c r="C8" s="2" t="s">
        <v>17</v>
      </c>
      <c r="D8" s="2" t="s">
        <v>18</v>
      </c>
      <c r="E8" s="2" t="s">
        <v>16</v>
      </c>
      <c r="F8" s="2" t="s">
        <v>13</v>
      </c>
      <c r="G8" s="2">
        <v>6</v>
      </c>
      <c r="H8" s="2">
        <v>20000</v>
      </c>
      <c r="I8" s="2">
        <v>120000</v>
      </c>
      <c r="J8" s="2">
        <v>130000</v>
      </c>
      <c r="K8" s="2">
        <v>30000</v>
      </c>
      <c r="L8" s="2" t="s">
        <v>28</v>
      </c>
    </row>
    <row r="9" spans="1:12" x14ac:dyDescent="0.25">
      <c r="A9" s="2">
        <v>8</v>
      </c>
      <c r="B9" s="3">
        <v>46030</v>
      </c>
      <c r="C9" s="2" t="s">
        <v>21</v>
      </c>
      <c r="D9" s="2" t="s">
        <v>22</v>
      </c>
      <c r="E9" s="2" t="s">
        <v>19</v>
      </c>
      <c r="F9" s="2" t="s">
        <v>20</v>
      </c>
      <c r="G9" s="2">
        <v>8</v>
      </c>
      <c r="H9" s="2">
        <v>3000</v>
      </c>
      <c r="I9" s="2">
        <v>24000</v>
      </c>
      <c r="J9" s="2">
        <v>30000</v>
      </c>
      <c r="K9" s="2">
        <v>6000</v>
      </c>
      <c r="L9" s="2" t="s">
        <v>29</v>
      </c>
    </row>
    <row r="10" spans="1:12" x14ac:dyDescent="0.25">
      <c r="A10" s="2">
        <v>9</v>
      </c>
      <c r="B10" s="3">
        <v>46031</v>
      </c>
      <c r="C10" s="2" t="s">
        <v>10</v>
      </c>
      <c r="D10" s="2" t="s">
        <v>11</v>
      </c>
      <c r="E10" s="2" t="s">
        <v>12</v>
      </c>
      <c r="F10" s="2" t="s">
        <v>13</v>
      </c>
      <c r="G10" s="2">
        <v>1</v>
      </c>
      <c r="H10" s="2">
        <v>50000</v>
      </c>
      <c r="I10" s="2">
        <v>50000</v>
      </c>
      <c r="J10" s="2">
        <v>60000</v>
      </c>
      <c r="K10" s="2">
        <v>12000</v>
      </c>
      <c r="L10" s="2" t="s">
        <v>28</v>
      </c>
    </row>
    <row r="11" spans="1:12" x14ac:dyDescent="0.25">
      <c r="A11" s="2">
        <v>10</v>
      </c>
      <c r="B11" s="3">
        <v>46032</v>
      </c>
      <c r="C11" s="2" t="s">
        <v>14</v>
      </c>
      <c r="D11" s="2" t="s">
        <v>15</v>
      </c>
      <c r="E11" s="2" t="s">
        <v>23</v>
      </c>
      <c r="F11" s="2" t="s">
        <v>20</v>
      </c>
      <c r="G11" s="2">
        <v>3</v>
      </c>
      <c r="H11" s="2">
        <v>7000</v>
      </c>
      <c r="I11" s="2">
        <v>21000</v>
      </c>
      <c r="J11" s="2">
        <v>25000</v>
      </c>
      <c r="K11" s="2">
        <v>5000</v>
      </c>
      <c r="L11" s="2" t="s">
        <v>29</v>
      </c>
    </row>
    <row r="12" spans="1:12" x14ac:dyDescent="0.25">
      <c r="A12" s="2">
        <v>11</v>
      </c>
      <c r="B12" s="3">
        <v>46033</v>
      </c>
      <c r="C12" s="2" t="s">
        <v>17</v>
      </c>
      <c r="D12" s="2" t="s">
        <v>18</v>
      </c>
      <c r="E12" s="2" t="s">
        <v>24</v>
      </c>
      <c r="F12" s="2" t="s">
        <v>13</v>
      </c>
      <c r="G12" s="2">
        <v>4</v>
      </c>
      <c r="H12" s="2">
        <v>12000</v>
      </c>
      <c r="I12" s="2">
        <v>48000</v>
      </c>
      <c r="J12" s="2">
        <v>50000</v>
      </c>
      <c r="K12" s="2">
        <v>10000</v>
      </c>
      <c r="L12" s="2" t="s">
        <v>28</v>
      </c>
    </row>
    <row r="13" spans="1:12" x14ac:dyDescent="0.25">
      <c r="A13" s="2">
        <v>12</v>
      </c>
      <c r="B13" s="3">
        <v>46034</v>
      </c>
      <c r="C13" s="2" t="s">
        <v>21</v>
      </c>
      <c r="D13" s="2" t="s">
        <v>22</v>
      </c>
      <c r="E13" s="2" t="s">
        <v>25</v>
      </c>
      <c r="F13" s="2" t="s">
        <v>20</v>
      </c>
      <c r="G13" s="2">
        <v>1</v>
      </c>
      <c r="H13" s="2">
        <v>25000</v>
      </c>
      <c r="I13" s="2">
        <v>25000</v>
      </c>
      <c r="J13" s="2">
        <v>30000</v>
      </c>
      <c r="K13" s="2">
        <v>7000</v>
      </c>
      <c r="L13" s="2" t="s">
        <v>29</v>
      </c>
    </row>
    <row r="14" spans="1:12" x14ac:dyDescent="0.25">
      <c r="A14" s="2">
        <v>13</v>
      </c>
      <c r="B14" s="3">
        <v>46035</v>
      </c>
      <c r="C14" s="2" t="s">
        <v>10</v>
      </c>
      <c r="D14" s="2" t="s">
        <v>11</v>
      </c>
      <c r="E14" s="2" t="s">
        <v>16</v>
      </c>
      <c r="F14" s="2" t="s">
        <v>13</v>
      </c>
      <c r="G14" s="2">
        <v>7</v>
      </c>
      <c r="H14" s="2">
        <v>20000</v>
      </c>
      <c r="I14" s="2">
        <v>140000</v>
      </c>
      <c r="J14" s="2">
        <v>150000</v>
      </c>
      <c r="K14" s="2">
        <v>35000</v>
      </c>
      <c r="L14" s="2" t="s">
        <v>28</v>
      </c>
    </row>
    <row r="15" spans="1:12" x14ac:dyDescent="0.25">
      <c r="A15" s="2">
        <v>14</v>
      </c>
      <c r="B15" s="3">
        <v>46036</v>
      </c>
      <c r="C15" s="2" t="s">
        <v>14</v>
      </c>
      <c r="D15" s="2" t="s">
        <v>15</v>
      </c>
      <c r="E15" s="2" t="s">
        <v>19</v>
      </c>
      <c r="F15" s="2" t="s">
        <v>20</v>
      </c>
      <c r="G15" s="2">
        <v>12</v>
      </c>
      <c r="H15" s="2">
        <v>3000</v>
      </c>
      <c r="I15" s="2">
        <v>36000</v>
      </c>
      <c r="J15" s="2">
        <v>40000</v>
      </c>
      <c r="K15" s="2">
        <v>9000</v>
      </c>
      <c r="L15" s="2" t="s">
        <v>29</v>
      </c>
    </row>
    <row r="16" spans="1:12" x14ac:dyDescent="0.25">
      <c r="A16" s="2">
        <v>15</v>
      </c>
      <c r="B16" s="3">
        <v>46037</v>
      </c>
      <c r="C16" s="2" t="s">
        <v>17</v>
      </c>
      <c r="D16" s="2" t="s">
        <v>18</v>
      </c>
      <c r="E16" s="2" t="s">
        <v>12</v>
      </c>
      <c r="F16" s="2" t="s">
        <v>13</v>
      </c>
      <c r="G16" s="2">
        <v>2</v>
      </c>
      <c r="H16" s="2">
        <v>50000</v>
      </c>
      <c r="I16" s="2">
        <v>100000</v>
      </c>
      <c r="J16" s="2">
        <v>110000</v>
      </c>
      <c r="K16" s="2">
        <v>25000</v>
      </c>
      <c r="L16" s="2" t="s">
        <v>28</v>
      </c>
    </row>
    <row r="17" spans="1:12" x14ac:dyDescent="0.25">
      <c r="A17" s="2">
        <v>16</v>
      </c>
      <c r="B17" s="3">
        <v>46038</v>
      </c>
      <c r="C17" s="2" t="s">
        <v>21</v>
      </c>
      <c r="D17" s="2" t="s">
        <v>22</v>
      </c>
      <c r="E17" s="2" t="s">
        <v>24</v>
      </c>
      <c r="F17" s="2" t="s">
        <v>13</v>
      </c>
      <c r="G17" s="2">
        <v>2</v>
      </c>
      <c r="H17" s="2">
        <v>12000</v>
      </c>
      <c r="I17" s="2">
        <v>24000</v>
      </c>
      <c r="J17" s="2">
        <v>30000</v>
      </c>
      <c r="K17" s="2">
        <v>6000</v>
      </c>
      <c r="L17" s="2" t="s">
        <v>29</v>
      </c>
    </row>
    <row r="18" spans="1:12" x14ac:dyDescent="0.25">
      <c r="A18" s="2">
        <v>17</v>
      </c>
      <c r="B18" s="3">
        <v>46039</v>
      </c>
      <c r="C18" s="2" t="s">
        <v>10</v>
      </c>
      <c r="D18" s="2" t="s">
        <v>11</v>
      </c>
      <c r="E18" s="2" t="s">
        <v>25</v>
      </c>
      <c r="F18" s="2" t="s">
        <v>20</v>
      </c>
      <c r="G18" s="2">
        <v>2</v>
      </c>
      <c r="H18" s="2">
        <v>25000</v>
      </c>
      <c r="I18" s="2">
        <v>50000</v>
      </c>
      <c r="J18" s="2">
        <v>55000</v>
      </c>
      <c r="K18" s="2">
        <v>12000</v>
      </c>
      <c r="L18" s="2" t="s">
        <v>28</v>
      </c>
    </row>
    <row r="19" spans="1:12" x14ac:dyDescent="0.25">
      <c r="A19" s="2">
        <v>18</v>
      </c>
      <c r="B19" s="3">
        <v>46040</v>
      </c>
      <c r="C19" s="2" t="s">
        <v>14</v>
      </c>
      <c r="D19" s="2" t="s">
        <v>15</v>
      </c>
      <c r="E19" s="2" t="s">
        <v>16</v>
      </c>
      <c r="F19" s="2" t="s">
        <v>13</v>
      </c>
      <c r="G19" s="2">
        <v>4</v>
      </c>
      <c r="H19" s="2">
        <v>20000</v>
      </c>
      <c r="I19" s="2">
        <v>80000</v>
      </c>
      <c r="J19" s="2">
        <v>90000</v>
      </c>
      <c r="K19" s="2">
        <v>18000</v>
      </c>
      <c r="L19" s="2" t="s">
        <v>29</v>
      </c>
    </row>
    <row r="20" spans="1:12" x14ac:dyDescent="0.25">
      <c r="A20" s="2">
        <v>19</v>
      </c>
      <c r="B20" s="3">
        <v>46041</v>
      </c>
      <c r="C20" s="2" t="s">
        <v>17</v>
      </c>
      <c r="D20" s="2" t="s">
        <v>18</v>
      </c>
      <c r="E20" s="2" t="s">
        <v>23</v>
      </c>
      <c r="F20" s="2" t="s">
        <v>20</v>
      </c>
      <c r="G20" s="2">
        <v>5</v>
      </c>
      <c r="H20" s="2">
        <v>7000</v>
      </c>
      <c r="I20" s="2">
        <v>35000</v>
      </c>
      <c r="J20" s="2">
        <v>40000</v>
      </c>
      <c r="K20" s="2">
        <v>10000</v>
      </c>
      <c r="L20" s="2" t="s">
        <v>28</v>
      </c>
    </row>
    <row r="21" spans="1:12" x14ac:dyDescent="0.25">
      <c r="A21" s="2">
        <v>20</v>
      </c>
      <c r="B21" s="3">
        <v>46042</v>
      </c>
      <c r="C21" s="2" t="s">
        <v>21</v>
      </c>
      <c r="D21" s="2" t="s">
        <v>22</v>
      </c>
      <c r="E21" s="2" t="s">
        <v>12</v>
      </c>
      <c r="F21" s="2" t="s">
        <v>13</v>
      </c>
      <c r="G21" s="2">
        <v>3</v>
      </c>
      <c r="H21" s="2">
        <v>50000</v>
      </c>
      <c r="I21" s="2">
        <v>150000</v>
      </c>
      <c r="J21" s="2">
        <v>160000</v>
      </c>
      <c r="K21" s="2">
        <v>40000</v>
      </c>
      <c r="L21" s="2" t="s">
        <v>29</v>
      </c>
    </row>
    <row r="22" spans="1:12" x14ac:dyDescent="0.25">
      <c r="A22" s="2"/>
      <c r="B22" s="3"/>
      <c r="C22" s="2"/>
      <c r="D22" s="2"/>
      <c r="E22" s="2"/>
      <c r="F22" s="2"/>
      <c r="G22" s="2"/>
      <c r="H22" s="2"/>
      <c r="I22" s="2">
        <f>SUM(I1:I21)</f>
        <v>1247000</v>
      </c>
      <c r="J22" s="2"/>
      <c r="K22" s="2"/>
      <c r="L22"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salesdata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SHANMUKASAI T</dc:creator>
  <cp:lastModifiedBy>SHANMUKASAI T</cp:lastModifiedBy>
  <cp:lastPrinted>2026-06-06T15:35:22Z</cp:lastPrinted>
  <dcterms:created xsi:type="dcterms:W3CDTF">2026-06-06T14:26:39Z</dcterms:created>
  <dcterms:modified xsi:type="dcterms:W3CDTF">2026-06-07T08:26:28Z</dcterms:modified>
</cp:coreProperties>
</file>