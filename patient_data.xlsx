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5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_ANALYSIS_EXCEL\"/>
    </mc:Choice>
  </mc:AlternateContent>
  <xr:revisionPtr revIDLastSave="0" documentId="13_ncr:1_{155C9A81-6F93-467B-B5F5-370C4D8DC23C}" xr6:coauthVersionLast="47" xr6:coauthVersionMax="47" xr10:uidLastSave="{00000000-0000-0000-0000-000000000000}"/>
  <bookViews>
    <workbookView xWindow="-120" yWindow="-120" windowWidth="20730" windowHeight="11040" activeTab="2" xr2:uid="{9D32BD29-12BB-4D2B-BBDA-5480E8A523E8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<sst xmlns="http://schemas.openxmlformats.org/spreadsheetml/2006/main" count="97" uniqueCount="95">
  <si>
    <t>Patient_ID</t>
  </si>
  <si>
    <t>Patient_Name</t>
  </si>
  <si>
    <t>Bill_Amount</t>
  </si>
  <si>
    <t>Days_Admitted</t>
  </si>
  <si>
    <t>H001</t>
  </si>
  <si>
    <t>Rajesh</t>
  </si>
  <si>
    <t>H002</t>
  </si>
  <si>
    <t>Sunita</t>
  </si>
  <si>
    <t>H003</t>
  </si>
  <si>
    <t>Mohan</t>
  </si>
  <si>
    <t>H004</t>
  </si>
  <si>
    <t>Anita</t>
  </si>
  <si>
    <t>H005</t>
  </si>
  <si>
    <t>Karthik</t>
  </si>
  <si>
    <t>H006</t>
  </si>
  <si>
    <t>Priyanka</t>
  </si>
  <si>
    <t>H007</t>
  </si>
  <si>
    <t>Dinesh</t>
  </si>
  <si>
    <t>H008</t>
  </si>
  <si>
    <t>Kavitha</t>
  </si>
  <si>
    <t>H009</t>
  </si>
  <si>
    <t>Ashok</t>
  </si>
  <si>
    <t>H010</t>
  </si>
  <si>
    <t>Ramesh</t>
  </si>
  <si>
    <t>H011</t>
  </si>
  <si>
    <t>Suresh</t>
  </si>
  <si>
    <t>H012</t>
  </si>
  <si>
    <t>Harini</t>
  </si>
  <si>
    <t>H013</t>
  </si>
  <si>
    <t>Mahesh</t>
  </si>
  <si>
    <t>H014</t>
  </si>
  <si>
    <t>Bhavya</t>
  </si>
  <si>
    <t>H015</t>
  </si>
  <si>
    <t>Charan</t>
  </si>
  <si>
    <t>H016</t>
  </si>
  <si>
    <t>Nandini</t>
  </si>
  <si>
    <t>H017</t>
  </si>
  <si>
    <t>Gopal</t>
  </si>
  <si>
    <t>H018</t>
  </si>
  <si>
    <t>Jyothi</t>
  </si>
  <si>
    <t>H019</t>
  </si>
  <si>
    <t>Naresh</t>
  </si>
  <si>
    <t>H020</t>
  </si>
  <si>
    <t>Lavanya</t>
  </si>
  <si>
    <t>MEAN</t>
  </si>
  <si>
    <t>MEDIAN</t>
  </si>
  <si>
    <t>MODE</t>
  </si>
  <si>
    <t>RANGE</t>
  </si>
  <si>
    <t>VARIANCE</t>
  </si>
  <si>
    <t>STDEV</t>
  </si>
  <si>
    <t>CORREL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</si>
  <si>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</si>
  <si>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</si>
  <si>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</si>
  <si>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</si>
  <si>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</si>
  <si>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</si>
  <si>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</si>
  <si>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</si>
  <si>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</si>
  <si>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</si>
  <si>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</si>
  <si>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</si>
  <si>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</si>
  <si>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</si>
  <si>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</si>
  <si>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</si>
  <si>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</si>
  <si>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</si>
  <si>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</si>
  <si>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</si>
  <si>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</si>
  <si>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</si>
  <si>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</si>
  <si>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</si>
  <si>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</si>
  <si>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</si>
  <si>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</si>
  <si>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</si>
  <si>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</si>
  <si>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</si>
  <si>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</si>
  <si>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</si>
  <si>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</si>
  <si>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</si>
  <si>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</si>
  <si>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</si>
  <si>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</si>
  <si>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</si>
  <si>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</si>
  <si>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12000</t>
  </si>
  <si>
    <t>Residuals</t>
  </si>
  <si>
    <t>Standard 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</si>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</sst>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4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</c:numCache>
            </c:numRef>
          </c:xVal>
          <c:yVal>
            <c:numRef>
              <c:f>Sheet3!$C$25:$C$43</c:f>
              <c:numCache>
                <c:formatCode>General</c:formatCode>
                <c:ptCount val="19"/>
                <c:pt idx="0">
                  <c:v>336.34259259259306</c:v>
                </c:pt>
                <c:pt idx="1">
                  <c:v>1178.7037037037044</c:v>
                </c:pt>
                <c:pt idx="2">
                  <c:v>-849.5370370370365</c:v>
                </c:pt>
                <c:pt idx="3">
                  <c:v>-935.41666666666788</c:v>
                </c:pt>
                <c:pt idx="4">
                  <c:v>-421.29629629629562</c:v>
                </c:pt>
                <c:pt idx="5">
                  <c:v>-563.65740740740694</c:v>
                </c:pt>
                <c:pt idx="6">
                  <c:v>-249.5370370370365</c:v>
                </c:pt>
                <c:pt idx="7">
                  <c:v>378.70370370370438</c:v>
                </c:pt>
                <c:pt idx="8">
                  <c:v>736.34259259259306</c:v>
                </c:pt>
                <c:pt idx="9">
                  <c:v>50.462962962963502</c:v>
                </c:pt>
                <c:pt idx="10">
                  <c:v>564.58333333333212</c:v>
                </c:pt>
                <c:pt idx="11">
                  <c:v>-349.5370370370365</c:v>
                </c:pt>
                <c:pt idx="12">
                  <c:v>-635.41666666666788</c:v>
                </c:pt>
                <c:pt idx="13">
                  <c:v>-221.29629629629562</c:v>
                </c:pt>
                <c:pt idx="14">
                  <c:v>636.34259259259306</c:v>
                </c:pt>
                <c:pt idx="15">
                  <c:v>-35.416666666667879</c:v>
                </c:pt>
                <c:pt idx="16">
                  <c:v>-549.5370370370365</c:v>
                </c:pt>
                <c:pt idx="17">
                  <c:v>178.70370370370438</c:v>
                </c:pt>
                <c:pt idx="18">
                  <c:v>750.4629629629635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3C-4EBC-A917-E26CD4272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945552"/>
        <c:axId val="1445948432"/>
      </c:scatterChart>
      <c:valAx>
        <c:axId val="1445945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5948432"/>
        <c:crosses val="autoZero"/>
        <c:crossBetween val="midCat"/>
      </c:valAx>
      <c:valAx>
        <c:axId val="14459484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594555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4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8500</c:v>
                </c:pt>
                <c:pt idx="1">
                  <c:v>15000</c:v>
                </c:pt>
                <c:pt idx="2">
                  <c:v>9200</c:v>
                </c:pt>
                <c:pt idx="3">
                  <c:v>11000</c:v>
                </c:pt>
                <c:pt idx="4">
                  <c:v>13400</c:v>
                </c:pt>
                <c:pt idx="5">
                  <c:v>7600</c:v>
                </c:pt>
                <c:pt idx="6">
                  <c:v>9800</c:v>
                </c:pt>
                <c:pt idx="7">
                  <c:v>14200</c:v>
                </c:pt>
                <c:pt idx="8">
                  <c:v>8900</c:v>
                </c:pt>
                <c:pt idx="9">
                  <c:v>10100</c:v>
                </c:pt>
                <c:pt idx="10">
                  <c:v>12500</c:v>
                </c:pt>
                <c:pt idx="11">
                  <c:v>9700</c:v>
                </c:pt>
                <c:pt idx="12">
                  <c:v>11300</c:v>
                </c:pt>
                <c:pt idx="13">
                  <c:v>13600</c:v>
                </c:pt>
                <c:pt idx="14">
                  <c:v>8800</c:v>
                </c:pt>
                <c:pt idx="15">
                  <c:v>11900</c:v>
                </c:pt>
                <c:pt idx="16">
                  <c:v>9500</c:v>
                </c:pt>
                <c:pt idx="17">
                  <c:v>14000</c:v>
                </c:pt>
                <c:pt idx="18">
                  <c:v>10800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F3F-4C6A-9A03-278BD46FC1F3}"/>
            </c:ext>
          </c:extLst>
        </c:ser>
        <c:ser>
          <c:idx val="1"/>
          <c:order val="1"/>
          <c:tx>
            <c:v>Predicted 12000</c:v>
          </c:tx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2</c:v>
                </c:pt>
                <c:pt idx="15">
                  <c:v>4</c:v>
                </c:pt>
                <c:pt idx="16">
                  <c:v>3</c:v>
                </c:pt>
                <c:pt idx="17">
                  <c:v>5</c:v>
                </c:pt>
                <c:pt idx="18">
                  <c:v>3</c:v>
                </c:pt>
              </c:numCache>
            </c:numRef>
          </c:xVal>
          <c:yVal>
            <c:numRef>
              <c:f>Sheet3!$B$25:$B$43</c:f>
              <c:numCache>
                <c:formatCode>General</c:formatCode>
                <c:ptCount val="19"/>
                <c:pt idx="0">
                  <c:v>8163.6574074074069</c:v>
                </c:pt>
                <c:pt idx="1">
                  <c:v>13821.296296296296</c:v>
                </c:pt>
                <c:pt idx="2">
                  <c:v>10049.537037037036</c:v>
                </c:pt>
                <c:pt idx="3">
                  <c:v>11935.416666666668</c:v>
                </c:pt>
                <c:pt idx="4">
                  <c:v>13821.296296296296</c:v>
                </c:pt>
                <c:pt idx="5">
                  <c:v>8163.6574074074069</c:v>
                </c:pt>
                <c:pt idx="6">
                  <c:v>10049.537037037036</c:v>
                </c:pt>
                <c:pt idx="7">
                  <c:v>13821.296296296296</c:v>
                </c:pt>
                <c:pt idx="8">
                  <c:v>8163.6574074074069</c:v>
                </c:pt>
                <c:pt idx="9">
                  <c:v>10049.537037037036</c:v>
                </c:pt>
                <c:pt idx="10">
                  <c:v>11935.416666666668</c:v>
                </c:pt>
                <c:pt idx="11">
                  <c:v>10049.537037037036</c:v>
                </c:pt>
                <c:pt idx="12">
                  <c:v>11935.416666666668</c:v>
                </c:pt>
                <c:pt idx="13">
                  <c:v>13821.296296296296</c:v>
                </c:pt>
                <c:pt idx="14">
                  <c:v>8163.6574074074069</c:v>
                </c:pt>
                <c:pt idx="15">
                  <c:v>11935.416666666668</c:v>
                </c:pt>
                <c:pt idx="16">
                  <c:v>10049.537037037036</c:v>
                </c:pt>
                <c:pt idx="17">
                  <c:v>13821.296296296296</c:v>
                </c:pt>
                <c:pt idx="18">
                  <c:v>10049.537037037036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F3F-4C6A-9A03-278BD46FC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7789488"/>
        <c:axId val="1147795728"/>
      </c:scatterChart>
      <c:valAx>
        <c:axId val="1147789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4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7795728"/>
        <c:crosses val="autoZero"/>
        <c:crossBetween val="midCat"/>
      </c:valAx>
      <c:valAx>
        <c:axId val="11477957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4778948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Sheet3!$F$25:$F$43</c:f>
              <c:numCache>
                <c:formatCode>General</c:formatCode>
                <c:ptCount val="19"/>
                <c:pt idx="0">
                  <c:v>2.6315789473684212</c:v>
                </c:pt>
                <c:pt idx="1">
                  <c:v>7.8947368421052637</c:v>
                </c:pt>
                <c:pt idx="2">
                  <c:v>13.157894736842106</c:v>
                </c:pt>
                <c:pt idx="3">
                  <c:v>18.421052631578949</c:v>
                </c:pt>
                <c:pt idx="4">
                  <c:v>23.684210526315791</c:v>
                </c:pt>
                <c:pt idx="5">
                  <c:v>28.947368421052634</c:v>
                </c:pt>
                <c:pt idx="6">
                  <c:v>34.21052631578948</c:v>
                </c:pt>
                <c:pt idx="7">
                  <c:v>39.473684210526315</c:v>
                </c:pt>
                <c:pt idx="8">
                  <c:v>44.736842105263165</c:v>
                </c:pt>
                <c:pt idx="9">
                  <c:v>50</c:v>
                </c:pt>
                <c:pt idx="10">
                  <c:v>55.26315789473685</c:v>
                </c:pt>
                <c:pt idx="11">
                  <c:v>60.526315789473685</c:v>
                </c:pt>
                <c:pt idx="12">
                  <c:v>65.789473684210535</c:v>
                </c:pt>
                <c:pt idx="13">
                  <c:v>71.052631578947384</c:v>
                </c:pt>
                <c:pt idx="14">
                  <c:v>76.31578947368422</c:v>
                </c:pt>
                <c:pt idx="15">
                  <c:v>81.578947368421055</c:v>
                </c:pt>
                <c:pt idx="16">
                  <c:v>86.842105263157904</c:v>
                </c:pt>
                <c:pt idx="17">
                  <c:v>92.105263157894754</c:v>
                </c:pt>
                <c:pt idx="18">
                  <c:v>97.368421052631589</c:v>
                </c:pt>
              </c:numCache>
            </c:numRef>
          </c:xVal>
          <c:yVal>
            <c:numRef>
              <c:f>Sheet3!$G$25:$G$43</c:f>
              <c:numCache>
                <c:formatCode>General</c:formatCode>
                <c:ptCount val="19"/>
                <c:pt idx="0">
                  <c:v>7600</c:v>
                </c:pt>
                <c:pt idx="1">
                  <c:v>8500</c:v>
                </c:pt>
                <c:pt idx="2">
                  <c:v>8800</c:v>
                </c:pt>
                <c:pt idx="3">
                  <c:v>8900</c:v>
                </c:pt>
                <c:pt idx="4">
                  <c:v>9200</c:v>
                </c:pt>
                <c:pt idx="5">
                  <c:v>9500</c:v>
                </c:pt>
                <c:pt idx="6">
                  <c:v>9700</c:v>
                </c:pt>
                <c:pt idx="7">
                  <c:v>9800</c:v>
                </c:pt>
                <c:pt idx="8">
                  <c:v>10100</c:v>
                </c:pt>
                <c:pt idx="9">
                  <c:v>10800</c:v>
                </c:pt>
                <c:pt idx="10">
                  <c:v>11000</c:v>
                </c:pt>
                <c:pt idx="11">
                  <c:v>11300</c:v>
                </c:pt>
                <c:pt idx="12">
                  <c:v>11900</c:v>
                </c:pt>
                <c:pt idx="13">
                  <c:v>12500</c:v>
                </c:pt>
                <c:pt idx="14">
                  <c:v>13400</c:v>
                </c:pt>
                <c:pt idx="15">
                  <c:v>13600</c:v>
                </c:pt>
                <c:pt idx="16">
                  <c:v>14000</c:v>
                </c:pt>
                <c:pt idx="17">
                  <c:v>14200</c:v>
                </c:pt>
                <c:pt idx="18">
                  <c:v>15000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D6-4AA3-AA76-32094CEE0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5394320"/>
        <c:axId val="1735387600"/>
      </c:scatterChart>
      <c:valAx>
        <c:axId val="17353943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387600"/>
        <c:crosses val="autoZero"/>
        <c:crossBetween val="midCat"/>
      </c:valAx>
      <c:valAx>
        <c:axId val="17353876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12000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35394320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04855643044627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Bill_Amount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12000</c:v>
                </c:pt>
                <c:pt idx="1">
                  <c:v>8500</c:v>
                </c:pt>
                <c:pt idx="2">
                  <c:v>15000</c:v>
                </c:pt>
                <c:pt idx="3">
                  <c:v>9200</c:v>
                </c:pt>
                <c:pt idx="4">
                  <c:v>11000</c:v>
                </c:pt>
                <c:pt idx="5">
                  <c:v>13400</c:v>
                </c:pt>
                <c:pt idx="6">
                  <c:v>7600</c:v>
                </c:pt>
                <c:pt idx="7">
                  <c:v>9800</c:v>
                </c:pt>
                <c:pt idx="8">
                  <c:v>14200</c:v>
                </c:pt>
                <c:pt idx="9">
                  <c:v>8900</c:v>
                </c:pt>
                <c:pt idx="10">
                  <c:v>10100</c:v>
                </c:pt>
                <c:pt idx="11">
                  <c:v>12500</c:v>
                </c:pt>
                <c:pt idx="12">
                  <c:v>9700</c:v>
                </c:pt>
                <c:pt idx="13">
                  <c:v>11300</c:v>
                </c:pt>
                <c:pt idx="14">
                  <c:v>13600</c:v>
                </c:pt>
                <c:pt idx="15">
                  <c:v>8800</c:v>
                </c:pt>
                <c:pt idx="16">
                  <c:v>11900</c:v>
                </c:pt>
                <c:pt idx="17">
                  <c:v>9500</c:v>
                </c:pt>
                <c:pt idx="18">
                  <c:v>14000</c:v>
                </c:pt>
                <c:pt idx="19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AD-4519-AE6D-0EB339274941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Days_Admitted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Sheet1!$D$2:$D$21</c:f>
              <c:numCache>
                <c:formatCode>General</c:formatCode>
                <c:ptCount val="20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2</c:v>
                </c:pt>
                <c:pt idx="16">
                  <c:v>4</c:v>
                </c:pt>
                <c:pt idx="17">
                  <c:v>3</c:v>
                </c:pt>
                <c:pt idx="18">
                  <c:v>5</c:v>
                </c:pt>
                <c:pt idx="1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4AD-4519-AE6D-0EB33927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05492000"/>
        <c:axId val="1405491520"/>
      </c:barChart>
      <c:catAx>
        <c:axId val="14054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91520"/>
        <c:crosses val="autoZero"/>
        <c:auto val="1"/>
        <c:lblAlgn val="ctr"/>
        <c:lblOffset val="100"/>
        <c:noMultiLvlLbl val="0"/>
      </c:catAx>
      <c:valAx>
        <c:axId val="1405491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54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Sheet1!$C$1</c:f>
              <c:strCache>
                <c:ptCount val="1"/>
                <c:pt idx="0">
                  <c:v>Bill_Amount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8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9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val>
            <c:numRef>
              <c:f>Sheet1!$C$2:$C$21</c:f>
              <c:numCache>
                <c:formatCode>General</c:formatCode>
                <c:ptCount val="20"/>
                <c:pt idx="0">
                  <c:v>12000</c:v>
                </c:pt>
                <c:pt idx="1">
                  <c:v>8500</c:v>
                </c:pt>
                <c:pt idx="2">
                  <c:v>15000</c:v>
                </c:pt>
                <c:pt idx="3">
                  <c:v>9200</c:v>
                </c:pt>
                <c:pt idx="4">
                  <c:v>11000</c:v>
                </c:pt>
                <c:pt idx="5">
                  <c:v>13400</c:v>
                </c:pt>
                <c:pt idx="6">
                  <c:v>7600</c:v>
                </c:pt>
                <c:pt idx="7">
                  <c:v>9800</c:v>
                </c:pt>
                <c:pt idx="8">
                  <c:v>14200</c:v>
                </c:pt>
                <c:pt idx="9">
                  <c:v>8900</c:v>
                </c:pt>
                <c:pt idx="10">
                  <c:v>10100</c:v>
                </c:pt>
                <c:pt idx="11">
                  <c:v>12500</c:v>
                </c:pt>
                <c:pt idx="12">
                  <c:v>9700</c:v>
                </c:pt>
                <c:pt idx="13">
                  <c:v>11300</c:v>
                </c:pt>
                <c:pt idx="14">
                  <c:v>13600</c:v>
                </c:pt>
                <c:pt idx="15">
                  <c:v>8800</c:v>
                </c:pt>
                <c:pt idx="16">
                  <c:v>11900</c:v>
                </c:pt>
                <c:pt idx="17">
                  <c:v>9500</c:v>
                </c:pt>
                <c:pt idx="18">
                  <c:v>14000</c:v>
                </c:pt>
                <c:pt idx="19">
                  <c:v>10800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AE-4ED4-8C94-CF4B0EA8F6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865EA7-E74D-5532-36E8-86F6167B5D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523875</xdr:colOff>
      <xdr:row>4</xdr:row>
      <xdr:rowOff>19050</xdr:rowOff>
    </xdr:from>
    <xdr:to>
      <xdr:col>21</xdr:col>
      <xdr:colOff>523875</xdr:colOff>
      <xdr:row>14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C49885A-5BA7-9BA8-2D7A-B1BEB93107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123825</xdr:colOff>
      <xdr:row>14</xdr:row>
      <xdr:rowOff>38100</xdr:rowOff>
    </xdr:from>
    <xdr:to>
      <xdr:col>16</xdr:col>
      <xdr:colOff>123825</xdr:colOff>
      <xdr:row>24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D5BDAF-95A0-E4C5-B490-688DBB481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2</xdr:row>
      <xdr:rowOff>100012</xdr:rowOff>
    </xdr:from>
    <xdr:to>
      <xdr:col>11</xdr:col>
      <xdr:colOff>438150</xdr:colOff>
      <xdr:row>16</xdr:row>
      <xdr:rowOff>176212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0E7A55-1BD8-EF2E-8B3A-B399309FD1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190500</xdr:colOff>
      <xdr:row>17</xdr:row>
      <xdr:rowOff>52387</xdr:rowOff>
    </xdr:from>
    <xdr:to>
      <xdr:col>11</xdr:col>
      <xdr:colOff>495300</xdr:colOff>
      <xdr:row>31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B7029F-9A8F-D006-8CE5-3CA259A3A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0FBAB-FE12-4E21-9EE1-AA9038469ABE}">
  <dimension ref="A1:B16"/>
  <sheetViews>
    <sheetView workbookViewId="0">
      <selection sqref="A1:B16"/>
    </sheetView>
  </sheetViews>
  <sheetFormatPr defaultRowHeight="15" x14ac:dyDescent="0.25"/>
  <sheetData>
    <row r="1" spans="1:2" x14ac:dyDescent="0.25">
      <c r="A1" s="8">
        <v>12000</v>
      </c>
      <c r="B1" s="8"/>
    </row>
    <row r="2" spans="1:2" x14ac:dyDescent="0.25">
      <c r="A2" s="5"/>
      <c r="B2" s="5"/>
    </row>
    <row r="3" spans="1:2" x14ac:dyDescent="0.25">
      <c r="A3" s="5" t="s">
        <v>51</v>
      </c>
      <c r="B3" s="5">
        <v>11042.105263157895</v>
      </c>
    </row>
    <row r="4" spans="1:2" x14ac:dyDescent="0.25">
      <c r="A4" s="5" t="s">
        <v>52</v>
      </c>
      <c r="B4" s="5">
        <v>505.54329466054469</v>
      </c>
    </row>
    <row r="5" spans="1:2" x14ac:dyDescent="0.25">
      <c r="A5" s="5" t="s">
        <v>53</v>
      </c>
      <c r="B5" s="5">
        <v>10800</v>
      </c>
    </row>
    <row r="6" spans="1:2" x14ac:dyDescent="0.25">
      <c r="A6" s="5" t="s">
        <v>54</v>
      </c>
      <c r="B6" s="5" t="e">
        <v>#N/A</v>
      </c>
    </row>
    <row r="7" spans="1:2" x14ac:dyDescent="0.25">
      <c r="A7" s="5" t="s">
        <v>55</v>
      </c>
      <c r="B7" s="5">
        <v>2203.6121330099199</v>
      </c>
    </row>
    <row r="8" spans="1:2" x14ac:dyDescent="0.25">
      <c r="A8" s="5" t="s">
        <v>56</v>
      </c>
      <c r="B8" s="5">
        <v>4855906.4327485301</v>
      </c>
    </row>
    <row r="9" spans="1:2" x14ac:dyDescent="0.25">
      <c r="A9" s="5" t="s">
        <v>57</v>
      </c>
      <c r="B9" s="5">
        <v>-1.0975613946216489</v>
      </c>
    </row>
    <row r="10" spans="1:2" x14ac:dyDescent="0.25">
      <c r="A10" s="5" t="s">
        <v>58</v>
      </c>
      <c r="B10" s="5">
        <v>0.34554681934616577</v>
      </c>
    </row>
    <row r="11" spans="1:2" x14ac:dyDescent="0.25">
      <c r="A11" s="5" t="s">
        <v>59</v>
      </c>
      <c r="B11" s="5">
        <v>7400</v>
      </c>
    </row>
    <row r="12" spans="1:2" x14ac:dyDescent="0.25">
      <c r="A12" s="5" t="s">
        <v>60</v>
      </c>
      <c r="B12" s="5">
        <v>7600</v>
      </c>
    </row>
    <row r="13" spans="1:2" x14ac:dyDescent="0.25">
      <c r="A13" s="5" t="s">
        <v>61</v>
      </c>
      <c r="B13" s="5">
        <v>15000</v>
      </c>
    </row>
    <row r="14" spans="1:2" x14ac:dyDescent="0.25">
      <c r="A14" s="5" t="s">
        <v>62</v>
      </c>
      <c r="B14" s="5">
        <v>209800</v>
      </c>
    </row>
    <row r="15" spans="1:2" x14ac:dyDescent="0.25">
      <c r="A15" s="5" t="s">
        <v>63</v>
      </c>
      <c r="B15" s="5">
        <v>19</v>
      </c>
    </row>
    <row r="16" spans="1:2" ht="15.75" thickBot="1" x14ac:dyDescent="0.3">
      <c r="A16" s="6" t="s">
        <v>64</v>
      </c>
      <c r="B16" s="6">
        <v>1062.1070500484077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00636-6D03-45E8-9581-EF6930B3FE48}">
  <dimension ref="A1:I43"/>
  <sheetViews>
    <sheetView workbookViewId="0">
      <selection activeCell="N13" sqref="N13"/>
    </sheetView>
  </sheetViews>
  <sheetFormatPr defaultRowHeight="15" x14ac:dyDescent="0.25"/>
  <sheetData>
    <row r="1" spans="1:9" x14ac:dyDescent="0.25">
      <c r="A1" t="s">
        <v>65</v>
      </c>
    </row>
    <row r="2" spans="1:9" ht="15.75" thickBot="1" x14ac:dyDescent="0.3"/>
    <row r="3" spans="1:9" x14ac:dyDescent="0.25">
      <c r="A3" s="8" t="s">
        <v>66</v>
      </c>
      <c r="B3" s="8"/>
    </row>
    <row r="4" spans="1:9" x14ac:dyDescent="0.25">
      <c r="A4" s="5" t="s">
        <v>67</v>
      </c>
      <c r="B4" s="5">
        <v>0.96185063260627723</v>
      </c>
    </row>
    <row r="5" spans="1:9" x14ac:dyDescent="0.25">
      <c r="A5" s="5" t="s">
        <v>68</v>
      </c>
      <c r="B5" s="5">
        <v>0.92515663944509574</v>
      </c>
    </row>
    <row r="6" spans="1:9" x14ac:dyDescent="0.25">
      <c r="A6" s="5" t="s">
        <v>69</v>
      </c>
      <c r="B6" s="5">
        <v>0.92075408882421905</v>
      </c>
    </row>
    <row r="7" spans="1:9" x14ac:dyDescent="0.25">
      <c r="A7" s="5" t="s">
        <v>52</v>
      </c>
      <c r="B7" s="5">
        <v>620.33114531473802</v>
      </c>
    </row>
    <row r="8" spans="1:9" ht="15.75" thickBot="1" x14ac:dyDescent="0.3">
      <c r="A8" s="6" t="s">
        <v>70</v>
      </c>
      <c r="B8" s="6">
        <v>19</v>
      </c>
    </row>
    <row r="10" spans="1:9" ht="15.75" thickBot="1" x14ac:dyDescent="0.3">
      <c r="A10" t="s">
        <v>71</v>
      </c>
    </row>
    <row r="11" spans="1:9" x14ac:dyDescent="0.25">
      <c r="A11" s="7"/>
      <c r="B11" s="7" t="s">
        <v>76</v>
      </c>
      <c r="C11" s="7" t="s">
        <v>77</v>
      </c>
      <c r="D11" s="7" t="s">
        <v>78</v>
      </c>
      <c r="E11" s="7" t="s">
        <v>79</v>
      </c>
      <c r="F11" s="7" t="s">
        <v>80</v>
      </c>
    </row>
    <row r="12" spans="1:9" x14ac:dyDescent="0.25">
      <c r="A12" s="5" t="s">
        <v>72</v>
      </c>
      <c r="B12" s="5">
        <v>1</v>
      </c>
      <c r="C12" s="5">
        <v>80864533.382066295</v>
      </c>
      <c r="D12" s="5">
        <v>80864533.382066295</v>
      </c>
      <c r="E12" s="5">
        <v>210.14105665430361</v>
      </c>
      <c r="F12" s="5">
        <v>5.3173572010905901E-11</v>
      </c>
    </row>
    <row r="13" spans="1:9" x14ac:dyDescent="0.25">
      <c r="A13" s="5" t="s">
        <v>73</v>
      </c>
      <c r="B13" s="5">
        <v>17</v>
      </c>
      <c r="C13" s="5">
        <v>6541782.4074074086</v>
      </c>
      <c r="D13" s="5">
        <v>384810.72984749463</v>
      </c>
      <c r="E13" s="5"/>
      <c r="F13" s="5"/>
    </row>
    <row r="14" spans="1:9" ht="15.75" thickBot="1" x14ac:dyDescent="0.3">
      <c r="A14" s="6" t="s">
        <v>74</v>
      </c>
      <c r="B14" s="6">
        <v>18</v>
      </c>
      <c r="C14" s="6">
        <v>87406315.789473698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81</v>
      </c>
      <c r="C16" s="7" t="s">
        <v>52</v>
      </c>
      <c r="D16" s="7" t="s">
        <v>82</v>
      </c>
      <c r="E16" s="7" t="s">
        <v>83</v>
      </c>
      <c r="F16" s="7" t="s">
        <v>84</v>
      </c>
      <c r="G16" s="7" t="s">
        <v>85</v>
      </c>
      <c r="H16" s="7" t="s">
        <v>86</v>
      </c>
      <c r="I16" s="7" t="s">
        <v>87</v>
      </c>
    </row>
    <row r="17" spans="1:9" x14ac:dyDescent="0.25">
      <c r="A17" s="5" t="s">
        <v>75</v>
      </c>
      <c r="B17" s="5">
        <v>4391.8981481481469</v>
      </c>
      <c r="C17" s="5">
        <v>480.32102264300977</v>
      </c>
      <c r="D17" s="5">
        <v>9.1436725462927502</v>
      </c>
      <c r="E17" s="5">
        <v>5.6554720476193468E-8</v>
      </c>
      <c r="F17" s="5">
        <v>3378.5093722150955</v>
      </c>
      <c r="G17" s="5">
        <v>5405.2869240811979</v>
      </c>
      <c r="H17" s="5">
        <v>3378.5093722150955</v>
      </c>
      <c r="I17" s="5">
        <v>5405.2869240811979</v>
      </c>
    </row>
    <row r="18" spans="1:9" ht="15.75" thickBot="1" x14ac:dyDescent="0.3">
      <c r="A18" s="6">
        <v>4</v>
      </c>
      <c r="B18" s="6">
        <v>1885.87962962963</v>
      </c>
      <c r="C18" s="6">
        <v>130.09437339355981</v>
      </c>
      <c r="D18" s="6">
        <v>14.496242846141328</v>
      </c>
      <c r="E18" s="6">
        <v>5.3173572010905901E-11</v>
      </c>
      <c r="F18" s="6">
        <v>1611.4044940554334</v>
      </c>
      <c r="G18" s="6">
        <v>2160.3547652038269</v>
      </c>
      <c r="H18" s="6">
        <v>1611.4044940554334</v>
      </c>
      <c r="I18" s="6">
        <v>2160.3547652038269</v>
      </c>
    </row>
    <row r="22" spans="1:9" x14ac:dyDescent="0.25">
      <c r="A22" t="s">
        <v>88</v>
      </c>
      <c r="F22" t="s">
        <v>93</v>
      </c>
    </row>
    <row r="23" spans="1:9" ht="15.75" thickBot="1" x14ac:dyDescent="0.3"/>
    <row r="24" spans="1:9" x14ac:dyDescent="0.25">
      <c r="A24" s="7" t="s">
        <v>89</v>
      </c>
      <c r="B24" s="7" t="s">
        <v>90</v>
      </c>
      <c r="C24" s="7" t="s">
        <v>91</v>
      </c>
      <c r="D24" s="7" t="s">
        <v>92</v>
      </c>
      <c r="F24" s="7" t="s">
        <v>94</v>
      </c>
      <c r="G24" s="7">
        <v>12000</v>
      </c>
    </row>
    <row r="25" spans="1:9" x14ac:dyDescent="0.25">
      <c r="A25" s="5">
        <v>1</v>
      </c>
      <c r="B25" s="5">
        <v>8163.6574074074069</v>
      </c>
      <c r="C25" s="5">
        <v>336.34259259259306</v>
      </c>
      <c r="D25" s="5">
        <v>0.5579176140529909</v>
      </c>
      <c r="F25" s="5">
        <v>2.6315789473684212</v>
      </c>
      <c r="G25" s="5">
        <v>7600</v>
      </c>
    </row>
    <row r="26" spans="1:9" x14ac:dyDescent="0.25">
      <c r="A26" s="5">
        <v>2</v>
      </c>
      <c r="B26" s="5">
        <v>13821.296296296296</v>
      </c>
      <c r="C26" s="5">
        <v>1178.7037037037044</v>
      </c>
      <c r="D26" s="5">
        <v>1.9552074953598262</v>
      </c>
      <c r="F26" s="5">
        <v>7.8947368421052637</v>
      </c>
      <c r="G26" s="5">
        <v>8500</v>
      </c>
    </row>
    <row r="27" spans="1:9" x14ac:dyDescent="0.25">
      <c r="A27" s="5">
        <v>3</v>
      </c>
      <c r="B27" s="5">
        <v>10049.537037037036</v>
      </c>
      <c r="C27" s="5">
        <v>-849.5370370370365</v>
      </c>
      <c r="D27" s="5">
        <v>-1.4091931476768567</v>
      </c>
      <c r="F27" s="5">
        <v>13.157894736842106</v>
      </c>
      <c r="G27" s="5">
        <v>8800</v>
      </c>
    </row>
    <row r="28" spans="1:9" x14ac:dyDescent="0.25">
      <c r="A28" s="5">
        <v>4</v>
      </c>
      <c r="B28" s="5">
        <v>11935.416666666668</v>
      </c>
      <c r="C28" s="5">
        <v>-935.41666666666788</v>
      </c>
      <c r="D28" s="5">
        <v>-1.5516483677826127</v>
      </c>
      <c r="F28" s="5">
        <v>18.421052631578949</v>
      </c>
      <c r="G28" s="5">
        <v>8900</v>
      </c>
    </row>
    <row r="29" spans="1:9" x14ac:dyDescent="0.25">
      <c r="A29" s="5">
        <v>5</v>
      </c>
      <c r="B29" s="5">
        <v>13821.296296296296</v>
      </c>
      <c r="C29" s="5">
        <v>-421.29629629629562</v>
      </c>
      <c r="D29" s="5">
        <v>-0.69883692882067483</v>
      </c>
      <c r="F29" s="5">
        <v>23.684210526315791</v>
      </c>
      <c r="G29" s="5">
        <v>9200</v>
      </c>
    </row>
    <row r="30" spans="1:9" x14ac:dyDescent="0.25">
      <c r="A30" s="5">
        <v>6</v>
      </c>
      <c r="B30" s="5">
        <v>8163.6574074074069</v>
      </c>
      <c r="C30" s="5">
        <v>-563.65740740740694</v>
      </c>
      <c r="D30" s="5">
        <v>-0.93498237454854094</v>
      </c>
      <c r="F30" s="5">
        <v>28.947368421052634</v>
      </c>
      <c r="G30" s="5">
        <v>9500</v>
      </c>
    </row>
    <row r="31" spans="1:9" x14ac:dyDescent="0.25">
      <c r="A31" s="5">
        <v>7</v>
      </c>
      <c r="B31" s="5">
        <v>10049.537037037036</v>
      </c>
      <c r="C31" s="5">
        <v>-249.5370370370365</v>
      </c>
      <c r="D31" s="5">
        <v>-0.4139264886091687</v>
      </c>
      <c r="F31" s="5">
        <v>34.21052631578948</v>
      </c>
      <c r="G31" s="5">
        <v>9700</v>
      </c>
    </row>
    <row r="32" spans="1:9" x14ac:dyDescent="0.25">
      <c r="A32" s="5">
        <v>8</v>
      </c>
      <c r="B32" s="5">
        <v>13821.296296296296</v>
      </c>
      <c r="C32" s="5">
        <v>378.70370370370438</v>
      </c>
      <c r="D32" s="5">
        <v>0.62818528326957568</v>
      </c>
      <c r="F32" s="5">
        <v>39.473684210526315</v>
      </c>
      <c r="G32" s="5">
        <v>9800</v>
      </c>
    </row>
    <row r="33" spans="1:7" x14ac:dyDescent="0.25">
      <c r="A33" s="5">
        <v>9</v>
      </c>
      <c r="B33" s="5">
        <v>8163.6574074074069</v>
      </c>
      <c r="C33" s="5">
        <v>736.34259259259306</v>
      </c>
      <c r="D33" s="5">
        <v>1.2214287200981162</v>
      </c>
      <c r="F33" s="5">
        <v>44.736842105263165</v>
      </c>
      <c r="G33" s="5">
        <v>10100</v>
      </c>
    </row>
    <row r="34" spans="1:7" x14ac:dyDescent="0.25">
      <c r="A34" s="5">
        <v>10</v>
      </c>
      <c r="B34" s="5">
        <v>10049.537037037036</v>
      </c>
      <c r="C34" s="5">
        <v>50.462962962963502</v>
      </c>
      <c r="D34" s="5">
        <v>8.3706840924675258E-2</v>
      </c>
      <c r="F34" s="5">
        <v>50</v>
      </c>
      <c r="G34" s="5">
        <v>10800</v>
      </c>
    </row>
    <row r="35" spans="1:7" x14ac:dyDescent="0.25">
      <c r="A35" s="5">
        <v>11</v>
      </c>
      <c r="B35" s="5">
        <v>11935.416666666668</v>
      </c>
      <c r="C35" s="5">
        <v>564.58333333333212</v>
      </c>
      <c r="D35" s="5">
        <v>0.93651827988660707</v>
      </c>
      <c r="F35" s="5">
        <v>55.26315789473685</v>
      </c>
      <c r="G35" s="5">
        <v>11000</v>
      </c>
    </row>
    <row r="36" spans="1:7" x14ac:dyDescent="0.25">
      <c r="A36" s="5">
        <v>12</v>
      </c>
      <c r="B36" s="5">
        <v>10049.537037037036</v>
      </c>
      <c r="C36" s="5">
        <v>-349.5370370370365</v>
      </c>
      <c r="D36" s="5">
        <v>-0.57980426512045002</v>
      </c>
      <c r="F36" s="5">
        <v>60.526315789473685</v>
      </c>
      <c r="G36" s="5">
        <v>11300</v>
      </c>
    </row>
    <row r="37" spans="1:7" x14ac:dyDescent="0.25">
      <c r="A37" s="5">
        <v>13</v>
      </c>
      <c r="B37" s="5">
        <v>11935.416666666668</v>
      </c>
      <c r="C37" s="5">
        <v>-635.41666666666788</v>
      </c>
      <c r="D37" s="5">
        <v>-1.0540150382487687</v>
      </c>
      <c r="F37" s="5">
        <v>65.789473684210535</v>
      </c>
      <c r="G37" s="5">
        <v>11900</v>
      </c>
    </row>
    <row r="38" spans="1:7" x14ac:dyDescent="0.25">
      <c r="A38" s="5">
        <v>14</v>
      </c>
      <c r="B38" s="5">
        <v>13821.296296296296</v>
      </c>
      <c r="C38" s="5">
        <v>-221.29629629629562</v>
      </c>
      <c r="D38" s="5">
        <v>-0.36708137579811217</v>
      </c>
      <c r="F38" s="5">
        <v>71.052631578947384</v>
      </c>
      <c r="G38" s="5">
        <v>12500</v>
      </c>
    </row>
    <row r="39" spans="1:7" x14ac:dyDescent="0.25">
      <c r="A39" s="5">
        <v>15</v>
      </c>
      <c r="B39" s="5">
        <v>8163.6574074074069</v>
      </c>
      <c r="C39" s="5">
        <v>636.34259259259306</v>
      </c>
      <c r="D39" s="5">
        <v>1.0555509435868349</v>
      </c>
      <c r="F39" s="5">
        <v>76.31578947368422</v>
      </c>
      <c r="G39" s="5">
        <v>13400</v>
      </c>
    </row>
    <row r="40" spans="1:7" x14ac:dyDescent="0.25">
      <c r="A40" s="5">
        <v>16</v>
      </c>
      <c r="B40" s="5">
        <v>11935.416666666668</v>
      </c>
      <c r="C40" s="5">
        <v>-35.416666666667879</v>
      </c>
      <c r="D40" s="5">
        <v>-5.8748379181080813E-2</v>
      </c>
      <c r="F40" s="5">
        <v>81.578947368421055</v>
      </c>
      <c r="G40" s="5">
        <v>13600</v>
      </c>
    </row>
    <row r="41" spans="1:7" x14ac:dyDescent="0.25">
      <c r="A41" s="5">
        <v>17</v>
      </c>
      <c r="B41" s="5">
        <v>10049.537037037036</v>
      </c>
      <c r="C41" s="5">
        <v>-549.5370370370365</v>
      </c>
      <c r="D41" s="5">
        <v>-0.91155981814301268</v>
      </c>
      <c r="F41" s="5">
        <v>86.842105263157904</v>
      </c>
      <c r="G41" s="5">
        <v>14000</v>
      </c>
    </row>
    <row r="42" spans="1:7" x14ac:dyDescent="0.25">
      <c r="A42" s="5">
        <v>18</v>
      </c>
      <c r="B42" s="5">
        <v>13821.296296296296</v>
      </c>
      <c r="C42" s="5">
        <v>178.70370370370438</v>
      </c>
      <c r="D42" s="5">
        <v>0.29642973024701308</v>
      </c>
      <c r="F42" s="5">
        <v>92.105263157894754</v>
      </c>
      <c r="G42" s="5">
        <v>14200</v>
      </c>
    </row>
    <row r="43" spans="1:7" ht="15.75" thickBot="1" x14ac:dyDescent="0.3">
      <c r="A43" s="6">
        <v>19</v>
      </c>
      <c r="B43" s="6">
        <v>10049.537037037036</v>
      </c>
      <c r="C43" s="6">
        <v>750.4629629629635</v>
      </c>
      <c r="D43" s="6">
        <v>1.2448512765036444</v>
      </c>
      <c r="F43" s="6">
        <v>97.368421052631589</v>
      </c>
      <c r="G43" s="6">
        <v>15000</v>
      </c>
    </row>
  </sheetData>
  <sortState xmlns:xlrd2="http://schemas.microsoft.com/office/spreadsheetml/2017/richdata2" ref="G25:G43">
    <sortCondition ref="G25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77AD-0972-4F68-8580-201E5253A52B}">
  <dimension ref="A1:K21"/>
  <sheetViews>
    <sheetView tabSelected="1" workbookViewId="0">
      <selection activeCell="D3" sqref="D3:D21"/>
    </sheetView>
  </sheetViews>
  <sheetFormatPr defaultRowHeight="15" x14ac:dyDescent="0.25"/>
  <cols>
    <col min="1" max="1" width="17.28515625" customWidth="1"/>
    <col min="2" max="2" width="15.5703125" customWidth="1"/>
    <col min="3" max="3" width="14.7109375" customWidth="1"/>
  </cols>
  <sheetData>
    <row r="1" spans="1:11" ht="30" x14ac:dyDescent="0.25">
      <c r="A1" s="1" t="s">
        <v>0</v>
      </c>
      <c r="B1" s="1" t="s">
        <v>1</v>
      </c>
      <c r="C1" s="4" t="s">
        <v>2</v>
      </c>
      <c r="D1" s="4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s="2" t="s">
        <v>4</v>
      </c>
      <c r="B2" s="2" t="s">
        <v>5</v>
      </c>
      <c r="C2" s="3">
        <v>12000</v>
      </c>
      <c r="D2" s="3">
        <v>4</v>
      </c>
      <c r="E2">
        <f>AVERAGE(C2:C21)</f>
        <v>11090</v>
      </c>
      <c r="F2">
        <f>MEDIAN(C2:C21)</f>
        <v>10900</v>
      </c>
      <c r="G2" t="e">
        <f>_xlfn.MODE.SNGL(C2:C21)</f>
        <v>#N/A</v>
      </c>
      <c r="H2">
        <f>MAX(C2:C21)-MIN(C2:C21)</f>
        <v>7400</v>
      </c>
      <c r="I2">
        <f>_xlfn.VAR.S(C2:C21)</f>
        <v>4646210.5263157897</v>
      </c>
      <c r="J2">
        <f>_xlfn.STDEV.S(C2:C21)</f>
        <v>2155.5070230263204</v>
      </c>
      <c r="K2">
        <f>CORREL(C2:C21,D2:D21)</f>
        <v>0.96221161740169725</v>
      </c>
    </row>
    <row r="3" spans="1:11" x14ac:dyDescent="0.25">
      <c r="A3" s="2" t="s">
        <v>6</v>
      </c>
      <c r="B3" s="2" t="s">
        <v>7</v>
      </c>
      <c r="C3" s="3">
        <v>8500</v>
      </c>
      <c r="D3" s="3">
        <v>2</v>
      </c>
    </row>
    <row r="4" spans="1:11" x14ac:dyDescent="0.25">
      <c r="A4" s="2" t="s">
        <v>8</v>
      </c>
      <c r="B4" s="2" t="s">
        <v>9</v>
      </c>
      <c r="C4" s="3">
        <v>15000</v>
      </c>
      <c r="D4" s="3">
        <v>5</v>
      </c>
    </row>
    <row r="5" spans="1:11" x14ac:dyDescent="0.25">
      <c r="A5" s="2" t="s">
        <v>10</v>
      </c>
      <c r="B5" s="2" t="s">
        <v>11</v>
      </c>
      <c r="C5" s="3">
        <v>9200</v>
      </c>
      <c r="D5" s="3">
        <v>3</v>
      </c>
    </row>
    <row r="6" spans="1:11" x14ac:dyDescent="0.25">
      <c r="A6" s="2" t="s">
        <v>12</v>
      </c>
      <c r="B6" s="2" t="s">
        <v>13</v>
      </c>
      <c r="C6" s="3">
        <v>11000</v>
      </c>
      <c r="D6" s="3">
        <v>4</v>
      </c>
    </row>
    <row r="7" spans="1:11" x14ac:dyDescent="0.25">
      <c r="A7" s="2" t="s">
        <v>14</v>
      </c>
      <c r="B7" s="2" t="s">
        <v>15</v>
      </c>
      <c r="C7" s="3">
        <v>13400</v>
      </c>
      <c r="D7" s="3">
        <v>5</v>
      </c>
    </row>
    <row r="8" spans="1:11" x14ac:dyDescent="0.25">
      <c r="A8" s="2" t="s">
        <v>16</v>
      </c>
      <c r="B8" s="2" t="s">
        <v>17</v>
      </c>
      <c r="C8" s="3">
        <v>7600</v>
      </c>
      <c r="D8" s="3">
        <v>2</v>
      </c>
    </row>
    <row r="9" spans="1:11" x14ac:dyDescent="0.25">
      <c r="A9" s="2" t="s">
        <v>18</v>
      </c>
      <c r="B9" s="2" t="s">
        <v>19</v>
      </c>
      <c r="C9" s="3">
        <v>9800</v>
      </c>
      <c r="D9" s="3">
        <v>3</v>
      </c>
    </row>
    <row r="10" spans="1:11" x14ac:dyDescent="0.25">
      <c r="A10" s="2" t="s">
        <v>20</v>
      </c>
      <c r="B10" s="2" t="s">
        <v>21</v>
      </c>
      <c r="C10" s="3">
        <v>14200</v>
      </c>
      <c r="D10" s="3">
        <v>5</v>
      </c>
    </row>
    <row r="11" spans="1:11" x14ac:dyDescent="0.25">
      <c r="A11" s="2" t="s">
        <v>22</v>
      </c>
      <c r="B11" s="2" t="s">
        <v>23</v>
      </c>
      <c r="C11" s="3">
        <v>8900</v>
      </c>
      <c r="D11" s="3">
        <v>2</v>
      </c>
    </row>
    <row r="12" spans="1:11" x14ac:dyDescent="0.25">
      <c r="A12" s="2" t="s">
        <v>24</v>
      </c>
      <c r="B12" s="2" t="s">
        <v>25</v>
      </c>
      <c r="C12" s="3">
        <v>10100</v>
      </c>
      <c r="D12" s="3">
        <v>3</v>
      </c>
    </row>
    <row r="13" spans="1:11" x14ac:dyDescent="0.25">
      <c r="A13" s="2" t="s">
        <v>26</v>
      </c>
      <c r="B13" s="2" t="s">
        <v>27</v>
      </c>
      <c r="C13" s="3">
        <v>12500</v>
      </c>
      <c r="D13" s="3">
        <v>4</v>
      </c>
    </row>
    <row r="14" spans="1:11" x14ac:dyDescent="0.25">
      <c r="A14" s="2" t="s">
        <v>28</v>
      </c>
      <c r="B14" s="2" t="s">
        <v>29</v>
      </c>
      <c r="C14" s="3">
        <v>9700</v>
      </c>
      <c r="D14" s="3">
        <v>3</v>
      </c>
    </row>
    <row r="15" spans="1:11" x14ac:dyDescent="0.25">
      <c r="A15" s="2" t="s">
        <v>30</v>
      </c>
      <c r="B15" s="2" t="s">
        <v>31</v>
      </c>
      <c r="C15" s="3">
        <v>11300</v>
      </c>
      <c r="D15" s="3">
        <v>4</v>
      </c>
    </row>
    <row r="16" spans="1:11" x14ac:dyDescent="0.25">
      <c r="A16" s="2" t="s">
        <v>32</v>
      </c>
      <c r="B16" s="2" t="s">
        <v>33</v>
      </c>
      <c r="C16" s="3">
        <v>13600</v>
      </c>
      <c r="D16" s="3">
        <v>5</v>
      </c>
    </row>
    <row r="17" spans="1:4" x14ac:dyDescent="0.25">
      <c r="A17" s="2" t="s">
        <v>34</v>
      </c>
      <c r="B17" s="2" t="s">
        <v>35</v>
      </c>
      <c r="C17" s="3">
        <v>8800</v>
      </c>
      <c r="D17" s="3">
        <v>2</v>
      </c>
    </row>
    <row r="18" spans="1:4" x14ac:dyDescent="0.25">
      <c r="A18" s="2" t="s">
        <v>36</v>
      </c>
      <c r="B18" s="2" t="s">
        <v>37</v>
      </c>
      <c r="C18" s="3">
        <v>11900</v>
      </c>
      <c r="D18" s="3">
        <v>4</v>
      </c>
    </row>
    <row r="19" spans="1:4" x14ac:dyDescent="0.25">
      <c r="A19" s="2" t="s">
        <v>38</v>
      </c>
      <c r="B19" s="2" t="s">
        <v>39</v>
      </c>
      <c r="C19" s="3">
        <v>9500</v>
      </c>
      <c r="D19" s="3">
        <v>3</v>
      </c>
    </row>
    <row r="20" spans="1:4" x14ac:dyDescent="0.25">
      <c r="A20" s="2" t="s">
        <v>40</v>
      </c>
      <c r="B20" s="2" t="s">
        <v>41</v>
      </c>
      <c r="C20" s="3">
        <v>14000</v>
      </c>
      <c r="D20" s="3">
        <v>5</v>
      </c>
    </row>
    <row r="21" spans="1:4" x14ac:dyDescent="0.25">
      <c r="A21" s="2" t="s">
        <v>42</v>
      </c>
      <c r="B21" s="2" t="s">
        <v>43</v>
      </c>
      <c r="C21" s="3">
        <v>10800</v>
      </c>
      <c r="D21" s="3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SHANMUKASAI T</dc:creator>
  <cp:lastModifiedBy>SHANMUKASAI T</cp:lastModifiedBy>
  <dcterms:created xsi:type="dcterms:W3CDTF">2026-05-26T16:05:43Z</dcterms:created>
  <dcterms:modified xsi:type="dcterms:W3CDTF">2026-05-26T16:53:25Z</dcterms:modified>
</cp:coreProperties>
</file>