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0FC27B4A-068A-45B7-85FA-8B2D364E36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3" r:id="rId1"/>
    <sheet name="Sheet3" sheetId="4" r:id="rId2"/>
    <sheet name="Student Study Dataset" sheetId="1" r:id="rId3"/>
  </sheets>
  <definedNames>
    <definedName name="_xlchart.v1.0" hidden="1">'Student Study Dataset'!$C$2:$C$22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G2" i="1"/>
  <c r="H2" i="1"/>
  <c r="F2" i="1"/>
  <c r="E2" i="1"/>
</calcChain>
</file>

<file path=xl/sharedStrings.xml><?xml version="1.0" encoding="utf-8"?>
<sst xmlns="http://schemas.openxmlformats.org/spreadsheetml/2006/main" count="79" uniqueCount="75">
  <si>
    <t>Student_ID</t>
  </si>
  <si>
    <t>Student_Name</t>
  </si>
  <si>
    <t>Marks</t>
  </si>
  <si>
    <t>Study_Hours_Per_Day</t>
  </si>
  <si>
    <t>Keerthi Rao</t>
  </si>
  <si>
    <t>Aditya Verma</t>
  </si>
  <si>
    <t>Priya Kumar</t>
  </si>
  <si>
    <t>Varun Sharma</t>
  </si>
  <si>
    <t>Sneha Singh</t>
  </si>
  <si>
    <t>Priya Yadav</t>
  </si>
  <si>
    <t>Pooja Patel</t>
  </si>
  <si>
    <t>Ananya Gupta</t>
  </si>
  <si>
    <t>Aarav Rao</t>
  </si>
  <si>
    <t>Sai Rao</t>
  </si>
  <si>
    <t>Varun Verma</t>
  </si>
  <si>
    <t>Aarav Verma</t>
  </si>
  <si>
    <t>Vivaan Sharma</t>
  </si>
  <si>
    <t>Teja Naidu</t>
  </si>
  <si>
    <t>Vivaan Gupta</t>
  </si>
  <si>
    <t>Aditya Naidu</t>
  </si>
  <si>
    <t>Aarav Reddy</t>
  </si>
  <si>
    <t>Vivaan Rao</t>
  </si>
  <si>
    <t>Diya Rao</t>
  </si>
  <si>
    <t>MEAN</t>
  </si>
  <si>
    <t>MEDIAN</t>
  </si>
  <si>
    <t>MODE</t>
  </si>
  <si>
    <t>RANGE</t>
  </si>
  <si>
    <t>VARIANCE</t>
  </si>
  <si>
    <t>Standard Deviation</t>
  </si>
  <si>
    <t>CORRELATION</t>
  </si>
  <si>
    <t xml:space="preserve"> </t>
  </si>
  <si>
    <t>Mean</t>
  </si>
  <si>
    <t>Standard Error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</si>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</sst>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'Student Study Dataset'!$C$2:$C$21</c:f>
              <c:numCache>
                <c:formatCode>General</c:formatCode>
                <c:ptCount val="20"/>
                <c:pt idx="0">
                  <c:v>68</c:v>
                </c:pt>
                <c:pt idx="1">
                  <c:v>62</c:v>
                </c:pt>
                <c:pt idx="2">
                  <c:v>84</c:v>
                </c:pt>
                <c:pt idx="3">
                  <c:v>99</c:v>
                </c:pt>
                <c:pt idx="4">
                  <c:v>51</c:v>
                </c:pt>
                <c:pt idx="5">
                  <c:v>95</c:v>
                </c:pt>
                <c:pt idx="6">
                  <c:v>75</c:v>
                </c:pt>
                <c:pt idx="7">
                  <c:v>37</c:v>
                </c:pt>
                <c:pt idx="8">
                  <c:v>72</c:v>
                </c:pt>
                <c:pt idx="9">
                  <c:v>86</c:v>
                </c:pt>
                <c:pt idx="10">
                  <c:v>44</c:v>
                </c:pt>
                <c:pt idx="11">
                  <c:v>53</c:v>
                </c:pt>
                <c:pt idx="12">
                  <c:v>62</c:v>
                </c:pt>
                <c:pt idx="13">
                  <c:v>79</c:v>
                </c:pt>
                <c:pt idx="14">
                  <c:v>80</c:v>
                </c:pt>
                <c:pt idx="15">
                  <c:v>52</c:v>
                </c:pt>
                <c:pt idx="16">
                  <c:v>47</c:v>
                </c:pt>
                <c:pt idx="17">
                  <c:v>64</c:v>
                </c:pt>
                <c:pt idx="18">
                  <c:v>63</c:v>
                </c:pt>
                <c:pt idx="19">
                  <c:v>96</c:v>
                </c:pt>
              </c:numCache>
            </c:numRef>
          </c:xVal>
          <c:yVal>
            <c:numRef>
              <c:f>Sheet3!$C$25:$C$44</c:f>
              <c:numCache>
                <c:formatCode>General</c:formatCode>
                <c:ptCount val="20"/>
                <c:pt idx="0">
                  <c:v>-4.8450892892908932</c:v>
                </c:pt>
                <c:pt idx="1">
                  <c:v>0.45372018683053028</c:v>
                </c:pt>
                <c:pt idx="2">
                  <c:v>-3.1085812256146896</c:v>
                </c:pt>
                <c:pt idx="3">
                  <c:v>2.8943950840817507</c:v>
                </c:pt>
                <c:pt idx="4">
                  <c:v>-5.4151291069468588</c:v>
                </c:pt>
                <c:pt idx="5">
                  <c:v>-0.53973193183730039</c:v>
                </c:pt>
                <c:pt idx="6">
                  <c:v>-0.41036701143255438</c:v>
                </c:pt>
                <c:pt idx="7">
                  <c:v>0.91542633733646372</c:v>
                </c:pt>
                <c:pt idx="8">
                  <c:v>-1.3109622733718425</c:v>
                </c:pt>
                <c:pt idx="9">
                  <c:v>4.2584822823448354</c:v>
                </c:pt>
                <c:pt idx="10">
                  <c:v>0.75014861519480203</c:v>
                </c:pt>
                <c:pt idx="11">
                  <c:v>-2.748065598987333</c:v>
                </c:pt>
                <c:pt idx="12">
                  <c:v>1.753720186830531</c:v>
                </c:pt>
                <c:pt idx="13">
                  <c:v>2.8237600044864974</c:v>
                </c:pt>
                <c:pt idx="14">
                  <c:v>-3.74270824153374</c:v>
                </c:pt>
                <c:pt idx="15">
                  <c:v>3.3184026470329044</c:v>
                </c:pt>
                <c:pt idx="16">
                  <c:v>2.4507438771340899</c:v>
                </c:pt>
                <c:pt idx="17">
                  <c:v>3.120783694790056</c:v>
                </c:pt>
                <c:pt idx="18">
                  <c:v>0.58725194081029386</c:v>
                </c:pt>
                <c:pt idx="19">
                  <c:v>-1.2062001778575375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5C-4619-85B8-C4D534398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986144"/>
        <c:axId val="1193983744"/>
      </c:scatterChart>
      <c:valAx>
        <c:axId val="119398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3983744"/>
        <c:crosses val="autoZero"/>
        <c:crossBetween val="midCat"/>
      </c:valAx>
      <c:valAx>
        <c:axId val="1193983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39861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'Student Study Dataset'!$C$2:$C$21</c:f>
              <c:numCache>
                <c:formatCode>General</c:formatCode>
                <c:ptCount val="20"/>
                <c:pt idx="0">
                  <c:v>68</c:v>
                </c:pt>
                <c:pt idx="1">
                  <c:v>62</c:v>
                </c:pt>
                <c:pt idx="2">
                  <c:v>84</c:v>
                </c:pt>
                <c:pt idx="3">
                  <c:v>99</c:v>
                </c:pt>
                <c:pt idx="4">
                  <c:v>51</c:v>
                </c:pt>
                <c:pt idx="5">
                  <c:v>95</c:v>
                </c:pt>
                <c:pt idx="6">
                  <c:v>75</c:v>
                </c:pt>
                <c:pt idx="7">
                  <c:v>37</c:v>
                </c:pt>
                <c:pt idx="8">
                  <c:v>72</c:v>
                </c:pt>
                <c:pt idx="9">
                  <c:v>86</c:v>
                </c:pt>
                <c:pt idx="10">
                  <c:v>44</c:v>
                </c:pt>
                <c:pt idx="11">
                  <c:v>53</c:v>
                </c:pt>
                <c:pt idx="12">
                  <c:v>62</c:v>
                </c:pt>
                <c:pt idx="13">
                  <c:v>79</c:v>
                </c:pt>
                <c:pt idx="14">
                  <c:v>80</c:v>
                </c:pt>
                <c:pt idx="15">
                  <c:v>52</c:v>
                </c:pt>
                <c:pt idx="16">
                  <c:v>47</c:v>
                </c:pt>
                <c:pt idx="17">
                  <c:v>64</c:v>
                </c:pt>
                <c:pt idx="18">
                  <c:v>63</c:v>
                </c:pt>
                <c:pt idx="19">
                  <c:v>96</c:v>
                </c:pt>
              </c:numCache>
            </c:numRef>
          </c:xVal>
          <c:yVal>
            <c:numRef>
              <c:f>'Student Study Dataset'!$D$2:$D$21</c:f>
              <c:numCache>
                <c:formatCode>General</c:formatCode>
                <c:ptCount val="20"/>
                <c:pt idx="0">
                  <c:v>1.1000000000000001</c:v>
                </c:pt>
                <c:pt idx="1">
                  <c:v>6.6</c:v>
                </c:pt>
                <c:pt idx="2">
                  <c:v>2.2999999999999998</c:v>
                </c:pt>
                <c:pt idx="3">
                  <c:v>7.8</c:v>
                </c:pt>
                <c:pt idx="4">
                  <c:v>1.1000000000000001</c:v>
                </c:pt>
                <c:pt idx="5">
                  <c:v>4.5</c:v>
                </c:pt>
                <c:pt idx="6">
                  <c:v>5.3</c:v>
                </c:pt>
                <c:pt idx="7">
                  <c:v>7.9</c:v>
                </c:pt>
                <c:pt idx="8">
                  <c:v>4.5</c:v>
                </c:pt>
                <c:pt idx="9">
                  <c:v>9.6</c:v>
                </c:pt>
                <c:pt idx="10">
                  <c:v>7.5</c:v>
                </c:pt>
                <c:pt idx="11">
                  <c:v>3.7</c:v>
                </c:pt>
                <c:pt idx="12">
                  <c:v>7.9</c:v>
                </c:pt>
                <c:pt idx="13">
                  <c:v>8.4</c:v>
                </c:pt>
                <c:pt idx="14">
                  <c:v>1.8</c:v>
                </c:pt>
                <c:pt idx="15">
                  <c:v>9.8000000000000007</c:v>
                </c:pt>
                <c:pt idx="16">
                  <c:v>9.1</c:v>
                </c:pt>
                <c:pt idx="17">
                  <c:v>9.1999999999999993</c:v>
                </c:pt>
                <c:pt idx="18">
                  <c:v>6.7</c:v>
                </c:pt>
                <c:pt idx="19">
                  <c:v>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04-421D-98F5-F6C9EDC66800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'Student Study Dataset'!$C$2:$C$21</c:f>
              <c:numCache>
                <c:formatCode>General</c:formatCode>
                <c:ptCount val="20"/>
                <c:pt idx="0">
                  <c:v>68</c:v>
                </c:pt>
                <c:pt idx="1">
                  <c:v>62</c:v>
                </c:pt>
                <c:pt idx="2">
                  <c:v>84</c:v>
                </c:pt>
                <c:pt idx="3">
                  <c:v>99</c:v>
                </c:pt>
                <c:pt idx="4">
                  <c:v>51</c:v>
                </c:pt>
                <c:pt idx="5">
                  <c:v>95</c:v>
                </c:pt>
                <c:pt idx="6">
                  <c:v>75</c:v>
                </c:pt>
                <c:pt idx="7">
                  <c:v>37</c:v>
                </c:pt>
                <c:pt idx="8">
                  <c:v>72</c:v>
                </c:pt>
                <c:pt idx="9">
                  <c:v>86</c:v>
                </c:pt>
                <c:pt idx="10">
                  <c:v>44</c:v>
                </c:pt>
                <c:pt idx="11">
                  <c:v>53</c:v>
                </c:pt>
                <c:pt idx="12">
                  <c:v>62</c:v>
                </c:pt>
                <c:pt idx="13">
                  <c:v>79</c:v>
                </c:pt>
                <c:pt idx="14">
                  <c:v>80</c:v>
                </c:pt>
                <c:pt idx="15">
                  <c:v>52</c:v>
                </c:pt>
                <c:pt idx="16">
                  <c:v>47</c:v>
                </c:pt>
                <c:pt idx="17">
                  <c:v>64</c:v>
                </c:pt>
                <c:pt idx="18">
                  <c:v>63</c:v>
                </c:pt>
                <c:pt idx="19">
                  <c:v>96</c:v>
                </c:pt>
              </c:numCache>
            </c:numRef>
          </c:xVal>
          <c:yVal>
            <c:numRef>
              <c:f>Sheet3!$B$25:$B$44</c:f>
              <c:numCache>
                <c:formatCode>General</c:formatCode>
                <c:ptCount val="20"/>
                <c:pt idx="0">
                  <c:v>5.9450892892908929</c:v>
                </c:pt>
                <c:pt idx="1">
                  <c:v>6.1462798131694694</c:v>
                </c:pt>
                <c:pt idx="2">
                  <c:v>5.4085812256146895</c:v>
                </c:pt>
                <c:pt idx="3">
                  <c:v>4.9056049159182491</c:v>
                </c:pt>
                <c:pt idx="4">
                  <c:v>6.5151291069468584</c:v>
                </c:pt>
                <c:pt idx="5">
                  <c:v>5.0397319318373004</c:v>
                </c:pt>
                <c:pt idx="6">
                  <c:v>5.7103670114325542</c:v>
                </c:pt>
                <c:pt idx="7">
                  <c:v>6.9845736626635366</c:v>
                </c:pt>
                <c:pt idx="8">
                  <c:v>5.8109622733718425</c:v>
                </c:pt>
                <c:pt idx="9">
                  <c:v>5.3415177176551643</c:v>
                </c:pt>
                <c:pt idx="10">
                  <c:v>6.749851384805198</c:v>
                </c:pt>
                <c:pt idx="11">
                  <c:v>6.4480655989873332</c:v>
                </c:pt>
                <c:pt idx="12">
                  <c:v>6.1462798131694694</c:v>
                </c:pt>
                <c:pt idx="13">
                  <c:v>5.5762399955135029</c:v>
                </c:pt>
                <c:pt idx="14">
                  <c:v>5.5427082415337399</c:v>
                </c:pt>
                <c:pt idx="15">
                  <c:v>6.4815973529670963</c:v>
                </c:pt>
                <c:pt idx="16">
                  <c:v>6.6492561228659097</c:v>
                </c:pt>
                <c:pt idx="17">
                  <c:v>6.0792163052099433</c:v>
                </c:pt>
                <c:pt idx="18">
                  <c:v>6.1127480591897063</c:v>
                </c:pt>
                <c:pt idx="19">
                  <c:v>5.0062001778575373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04-421D-98F5-F6C9EDC66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986144"/>
        <c:axId val="1193989984"/>
      </c:scatterChart>
      <c:valAx>
        <c:axId val="119398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3989984"/>
        <c:crosses val="autoZero"/>
        <c:crossBetween val="midCat"/>
      </c:valAx>
      <c:valAx>
        <c:axId val="1193989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39861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layout>
        <c:manualLayout>
          <c:xMode val="edge"/>
          <c:yMode val="edge"/>
          <c:x val="0.18819444444444444"/>
          <c:y val="5.9113300492610835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Sheet3!$F$25:$F$44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Sheet3!$G$25:$G$44</c:f>
              <c:numCache>
                <c:formatCode>General</c:formatCode>
                <c:ptCount val="20"/>
                <c:pt idx="0">
                  <c:v>1.1000000000000001</c:v>
                </c:pt>
                <c:pt idx="1">
                  <c:v>1.1000000000000001</c:v>
                </c:pt>
                <c:pt idx="2">
                  <c:v>1.8</c:v>
                </c:pt>
                <c:pt idx="3">
                  <c:v>2.2999999999999998</c:v>
                </c:pt>
                <c:pt idx="4">
                  <c:v>3.7</c:v>
                </c:pt>
                <c:pt idx="5">
                  <c:v>3.8</c:v>
                </c:pt>
                <c:pt idx="6">
                  <c:v>4.5</c:v>
                </c:pt>
                <c:pt idx="7">
                  <c:v>4.5</c:v>
                </c:pt>
                <c:pt idx="8">
                  <c:v>5.3</c:v>
                </c:pt>
                <c:pt idx="9">
                  <c:v>6.6</c:v>
                </c:pt>
                <c:pt idx="10">
                  <c:v>6.7</c:v>
                </c:pt>
                <c:pt idx="11">
                  <c:v>7.5</c:v>
                </c:pt>
                <c:pt idx="12">
                  <c:v>7.8</c:v>
                </c:pt>
                <c:pt idx="13">
                  <c:v>7.9</c:v>
                </c:pt>
                <c:pt idx="14">
                  <c:v>7.9</c:v>
                </c:pt>
                <c:pt idx="15">
                  <c:v>8.4</c:v>
                </c:pt>
                <c:pt idx="16">
                  <c:v>9.1</c:v>
                </c:pt>
                <c:pt idx="17">
                  <c:v>9.1999999999999993</c:v>
                </c:pt>
                <c:pt idx="18">
                  <c:v>9.6</c:v>
                </c:pt>
                <c:pt idx="19">
                  <c:v>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1D-45BE-A89F-6761E7357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986144"/>
        <c:axId val="1193990464"/>
      </c:scatterChart>
      <c:valAx>
        <c:axId val="119398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3990464"/>
        <c:crosses val="autoZero"/>
        <c:crossBetween val="midCat"/>
      </c:valAx>
      <c:valAx>
        <c:axId val="1193990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39861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COLUMN CHART FOR MARKS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067152230971129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Dataset'!$C$2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2-43B5-973F-258C8974046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Dataset'!$C$3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2-43B5-973F-258C8974046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Dataset'!$C$4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92-43B5-973F-258C8974046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Dataset'!$C$5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92-43B5-973F-258C8974046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Dataset'!$C$6</c:f>
              <c:numCache>
                <c:formatCode>General</c:formatCode>
                <c:ptCount val="1"/>
                <c:pt idx="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92-43B5-973F-258C8974046E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Dataset'!$C$7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92-43B5-973F-258C8974046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Dataset'!$C$8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92-43B5-973F-258C8974046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Dataset'!$C$9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92-43B5-973F-258C8974046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Dataset'!$C$10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92-43B5-973F-258C8974046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Dataset'!$C$11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892-43B5-973F-258C8974046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Dataset'!$C$12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92-43B5-973F-258C8974046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Dataset'!$C$13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892-43B5-973F-258C8974046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Dataset'!$C$14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892-43B5-973F-258C8974046E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Dataset'!$C$15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892-43B5-973F-258C8974046E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Dataset'!$C$16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892-43B5-973F-258C8974046E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Dataset'!$C$17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892-43B5-973F-258C8974046E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Dataset'!$C$18</c:f>
              <c:numCache>
                <c:formatCode>General</c:formatCode>
                <c:ptCount val="1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892-43B5-973F-258C8974046E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Dataset'!$C$19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892-43B5-973F-258C8974046E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Dataset'!$C$20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892-43B5-973F-258C8974046E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Dataset'!$C$21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892-43B5-973F-258C897404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2320336"/>
        <c:axId val="1192318416"/>
      </c:barChart>
      <c:catAx>
        <c:axId val="119232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318416"/>
        <c:crosses val="autoZero"/>
        <c:auto val="1"/>
        <c:lblAlgn val="ctr"/>
        <c:lblOffset val="100"/>
        <c:noMultiLvlLbl val="0"/>
      </c:catAx>
      <c:valAx>
        <c:axId val="11923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32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BAR CHAT FOR MARKS VS STD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'Student Study Dataset'!$C$2:$C$21</c:f>
              <c:numCache>
                <c:formatCode>General</c:formatCode>
                <c:ptCount val="20"/>
                <c:pt idx="0">
                  <c:v>68</c:v>
                </c:pt>
                <c:pt idx="1">
                  <c:v>62</c:v>
                </c:pt>
                <c:pt idx="2">
                  <c:v>84</c:v>
                </c:pt>
                <c:pt idx="3">
                  <c:v>99</c:v>
                </c:pt>
                <c:pt idx="4">
                  <c:v>51</c:v>
                </c:pt>
                <c:pt idx="5">
                  <c:v>95</c:v>
                </c:pt>
                <c:pt idx="6">
                  <c:v>75</c:v>
                </c:pt>
                <c:pt idx="7">
                  <c:v>37</c:v>
                </c:pt>
                <c:pt idx="8">
                  <c:v>72</c:v>
                </c:pt>
                <c:pt idx="9">
                  <c:v>86</c:v>
                </c:pt>
                <c:pt idx="10">
                  <c:v>44</c:v>
                </c:pt>
                <c:pt idx="11">
                  <c:v>53</c:v>
                </c:pt>
                <c:pt idx="12">
                  <c:v>62</c:v>
                </c:pt>
                <c:pt idx="13">
                  <c:v>79</c:v>
                </c:pt>
                <c:pt idx="14">
                  <c:v>80</c:v>
                </c:pt>
                <c:pt idx="15">
                  <c:v>52</c:v>
                </c:pt>
                <c:pt idx="16">
                  <c:v>47</c:v>
                </c:pt>
                <c:pt idx="17">
                  <c:v>64</c:v>
                </c:pt>
                <c:pt idx="18">
                  <c:v>63</c:v>
                </c:pt>
                <c:pt idx="1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2-4675-9924-CC30CDF4C913}"/>
            </c:ext>
          </c:extLst>
        </c:ser>
        <c:ser>
          <c:idx val="1"/>
          <c:order val="1"/>
          <c:tx>
            <c:strRef>
              <c:f>'Student Study Dataset'!$D$1</c:f>
              <c:strCache>
                <c:ptCount val="1"/>
                <c:pt idx="0">
                  <c:v>Study_Hours_Per_Day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'Student Study Dataset'!$D$2:$D$21</c:f>
              <c:numCache>
                <c:formatCode>General</c:formatCode>
                <c:ptCount val="20"/>
                <c:pt idx="0">
                  <c:v>1.1000000000000001</c:v>
                </c:pt>
                <c:pt idx="1">
                  <c:v>6.6</c:v>
                </c:pt>
                <c:pt idx="2">
                  <c:v>2.2999999999999998</c:v>
                </c:pt>
                <c:pt idx="3">
                  <c:v>7.8</c:v>
                </c:pt>
                <c:pt idx="4">
                  <c:v>1.1000000000000001</c:v>
                </c:pt>
                <c:pt idx="5">
                  <c:v>4.5</c:v>
                </c:pt>
                <c:pt idx="6">
                  <c:v>5.3</c:v>
                </c:pt>
                <c:pt idx="7">
                  <c:v>7.9</c:v>
                </c:pt>
                <c:pt idx="8">
                  <c:v>4.5</c:v>
                </c:pt>
                <c:pt idx="9">
                  <c:v>9.6</c:v>
                </c:pt>
                <c:pt idx="10">
                  <c:v>7.5</c:v>
                </c:pt>
                <c:pt idx="11">
                  <c:v>3.7</c:v>
                </c:pt>
                <c:pt idx="12">
                  <c:v>7.9</c:v>
                </c:pt>
                <c:pt idx="13">
                  <c:v>8.4</c:v>
                </c:pt>
                <c:pt idx="14">
                  <c:v>1.8</c:v>
                </c:pt>
                <c:pt idx="15">
                  <c:v>9.8000000000000007</c:v>
                </c:pt>
                <c:pt idx="16">
                  <c:v>9.1</c:v>
                </c:pt>
                <c:pt idx="17">
                  <c:v>9.1999999999999993</c:v>
                </c:pt>
                <c:pt idx="18">
                  <c:v>6.7</c:v>
                </c:pt>
                <c:pt idx="19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2-4675-9924-CC30CDF4C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92257584"/>
        <c:axId val="1192259024"/>
      </c:barChart>
      <c:catAx>
        <c:axId val="119225758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59024"/>
        <c:crosses val="autoZero"/>
        <c:auto val="1"/>
        <c:lblAlgn val="ctr"/>
        <c:lblOffset val="100"/>
        <c:noMultiLvlLbl val="0"/>
      </c:catAx>
      <c:valAx>
        <c:axId val="119225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5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FOR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9895851560221639"/>
          <c:w val="0.93888888888888888"/>
          <c:h val="0.5776607611548556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'Student Study Dataset'!$C$2:$C$22</c:f>
              <c:numCache>
                <c:formatCode>General</c:formatCode>
                <c:ptCount val="21"/>
                <c:pt idx="0">
                  <c:v>68</c:v>
                </c:pt>
                <c:pt idx="1">
                  <c:v>62</c:v>
                </c:pt>
                <c:pt idx="2">
                  <c:v>84</c:v>
                </c:pt>
                <c:pt idx="3">
                  <c:v>99</c:v>
                </c:pt>
                <c:pt idx="4">
                  <c:v>51</c:v>
                </c:pt>
                <c:pt idx="5">
                  <c:v>95</c:v>
                </c:pt>
                <c:pt idx="6">
                  <c:v>75</c:v>
                </c:pt>
                <c:pt idx="7">
                  <c:v>37</c:v>
                </c:pt>
                <c:pt idx="8">
                  <c:v>72</c:v>
                </c:pt>
                <c:pt idx="9">
                  <c:v>86</c:v>
                </c:pt>
                <c:pt idx="10">
                  <c:v>44</c:v>
                </c:pt>
                <c:pt idx="11">
                  <c:v>53</c:v>
                </c:pt>
                <c:pt idx="12">
                  <c:v>62</c:v>
                </c:pt>
                <c:pt idx="13">
                  <c:v>79</c:v>
                </c:pt>
                <c:pt idx="14">
                  <c:v>80</c:v>
                </c:pt>
                <c:pt idx="15">
                  <c:v>52</c:v>
                </c:pt>
                <c:pt idx="16">
                  <c:v>47</c:v>
                </c:pt>
                <c:pt idx="17">
                  <c:v>64</c:v>
                </c:pt>
                <c:pt idx="18">
                  <c:v>63</c:v>
                </c:pt>
                <c:pt idx="1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6-45C6-AA26-7BA2BC327DE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ABBC6-F978-4C48-E780-076E78FFD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476250</xdr:colOff>
      <xdr:row>3</xdr:row>
      <xdr:rowOff>47625</xdr:rowOff>
    </xdr:from>
    <xdr:to>
      <xdr:col>22</xdr:col>
      <xdr:colOff>476250</xdr:colOff>
      <xdr:row>13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AB3C96-6B5A-14EA-3C33-4F8FFBED0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361950</xdr:colOff>
      <xdr:row>15</xdr:row>
      <xdr:rowOff>104775</xdr:rowOff>
    </xdr:from>
    <xdr:to>
      <xdr:col>16</xdr:col>
      <xdr:colOff>361950</xdr:colOff>
      <xdr:row>25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680F3E-2122-80D7-AE3E-09C77FF60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3</xdr:row>
      <xdr:rowOff>14287</xdr:rowOff>
    </xdr:from>
    <xdr:to>
      <xdr:col>10</xdr:col>
      <xdr:colOff>390525</xdr:colOff>
      <xdr:row>17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74A487-73E6-167B-96C9-F02846A4A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42862</xdr:rowOff>
    </xdr:from>
    <xdr:to>
      <xdr:col>4</xdr:col>
      <xdr:colOff>371475</xdr:colOff>
      <xdr:row>35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9DF0F7-5AF5-89EF-7EAB-651294512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519112</xdr:colOff>
      <xdr:row>19</xdr:row>
      <xdr:rowOff>61912</xdr:rowOff>
    </xdr:from>
    <xdr:to>
      <xdr:col>10</xdr:col>
      <xdr:colOff>795337</xdr:colOff>
      <xdr:row>33</xdr:row>
      <xdr:rowOff>138112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F8BE9B-7AE5-F27A-DA68-6549D0018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8CBB-8F08-4130-B9BA-CCD0C0128CF8}">
  <dimension ref="A1:B15"/>
  <sheetViews>
    <sheetView workbookViewId="0">
      <selection activeCell="F16" sqref="F16"/>
    </sheetView>
  </sheetViews>
  <sheetFormatPr defaultRowHeight="15" x14ac:dyDescent="0.25"/>
  <sheetData>
    <row r="1" spans="1:2" x14ac:dyDescent="0.25">
      <c r="A1" s="5">
        <v>68</v>
      </c>
      <c r="B1" s="5"/>
    </row>
    <row r="2" spans="1:2" x14ac:dyDescent="0.25">
      <c r="A2" s="2"/>
      <c r="B2" s="2"/>
    </row>
    <row r="3" spans="1:2" x14ac:dyDescent="0.25">
      <c r="A3" s="2" t="s">
        <v>31</v>
      </c>
      <c r="B3" s="2">
        <v>68.473684210526315</v>
      </c>
    </row>
    <row r="4" spans="1:2" x14ac:dyDescent="0.25">
      <c r="A4" s="2" t="s">
        <v>32</v>
      </c>
      <c r="B4" s="2">
        <v>4.2717406925242365</v>
      </c>
    </row>
    <row r="5" spans="1:2" x14ac:dyDescent="0.25">
      <c r="A5" s="2" t="s">
        <v>33</v>
      </c>
      <c r="B5" s="2">
        <v>64</v>
      </c>
    </row>
    <row r="6" spans="1:2" x14ac:dyDescent="0.25">
      <c r="A6" s="2" t="s">
        <v>34</v>
      </c>
      <c r="B6" s="2">
        <v>62</v>
      </c>
    </row>
    <row r="7" spans="1:2" x14ac:dyDescent="0.25">
      <c r="A7" s="2" t="s">
        <v>28</v>
      </c>
      <c r="B7" s="2">
        <v>18.620085991723602</v>
      </c>
    </row>
    <row r="8" spans="1:2" x14ac:dyDescent="0.25">
      <c r="A8" s="2" t="s">
        <v>35</v>
      </c>
      <c r="B8" s="2">
        <v>346.70760233918151</v>
      </c>
    </row>
    <row r="9" spans="1:2" x14ac:dyDescent="0.25">
      <c r="A9" s="2" t="s">
        <v>36</v>
      </c>
      <c r="B9" s="2">
        <v>-1.0530528073112109</v>
      </c>
    </row>
    <row r="10" spans="1:2" x14ac:dyDescent="0.25">
      <c r="A10" s="2" t="s">
        <v>37</v>
      </c>
      <c r="B10" s="2">
        <v>9.6839984174515795E-2</v>
      </c>
    </row>
    <row r="11" spans="1:2" x14ac:dyDescent="0.25">
      <c r="A11" s="2" t="s">
        <v>38</v>
      </c>
      <c r="B11" s="2">
        <v>62</v>
      </c>
    </row>
    <row r="12" spans="1:2" x14ac:dyDescent="0.25">
      <c r="A12" s="2" t="s">
        <v>39</v>
      </c>
      <c r="B12" s="2">
        <v>37</v>
      </c>
    </row>
    <row r="13" spans="1:2" x14ac:dyDescent="0.25">
      <c r="A13" s="2" t="s">
        <v>40</v>
      </c>
      <c r="B13" s="2">
        <v>99</v>
      </c>
    </row>
    <row r="14" spans="1:2" x14ac:dyDescent="0.25">
      <c r="A14" s="2" t="s">
        <v>41</v>
      </c>
      <c r="B14" s="2">
        <v>1301</v>
      </c>
    </row>
    <row r="15" spans="1:2" ht="15.75" thickBot="1" x14ac:dyDescent="0.3">
      <c r="A15" s="3" t="s">
        <v>42</v>
      </c>
      <c r="B15" s="3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4557-6C07-4E04-AB11-C6323BA63E1C}">
  <dimension ref="A1:I44"/>
  <sheetViews>
    <sheetView tabSelected="1" workbookViewId="0">
      <selection activeCell="T18" sqref="T18"/>
    </sheetView>
  </sheetViews>
  <sheetFormatPr defaultRowHeight="15" x14ac:dyDescent="0.25"/>
  <sheetData>
    <row r="1" spans="1:9" x14ac:dyDescent="0.25">
      <c r="A1" t="s">
        <v>43</v>
      </c>
    </row>
    <row r="2" spans="1:9" ht="15.75" thickBot="1" x14ac:dyDescent="0.3"/>
    <row r="3" spans="1:9" x14ac:dyDescent="0.25">
      <c r="A3" s="5" t="s">
        <v>44</v>
      </c>
      <c r="B3" s="5"/>
    </row>
    <row r="4" spans="1:9" x14ac:dyDescent="0.25">
      <c r="A4" s="2" t="s">
        <v>45</v>
      </c>
      <c r="B4" s="2">
        <v>0.20880790004054098</v>
      </c>
    </row>
    <row r="5" spans="1:9" x14ac:dyDescent="0.25">
      <c r="A5" s="2" t="s">
        <v>46</v>
      </c>
      <c r="B5" s="2">
        <v>4.3600739119340558E-2</v>
      </c>
    </row>
    <row r="6" spans="1:9" x14ac:dyDescent="0.25">
      <c r="A6" s="2" t="s">
        <v>47</v>
      </c>
      <c r="B6" s="2">
        <v>-9.5325531518071892E-3</v>
      </c>
    </row>
    <row r="7" spans="1:9" x14ac:dyDescent="0.25">
      <c r="A7" s="2" t="s">
        <v>32</v>
      </c>
      <c r="B7" s="2">
        <v>2.9242739824960071</v>
      </c>
    </row>
    <row r="8" spans="1:9" ht="15.75" thickBot="1" x14ac:dyDescent="0.3">
      <c r="A8" s="3" t="s">
        <v>48</v>
      </c>
      <c r="B8" s="3">
        <v>20</v>
      </c>
    </row>
    <row r="10" spans="1:9" ht="15.75" thickBot="1" x14ac:dyDescent="0.3">
      <c r="A10" t="s">
        <v>49</v>
      </c>
    </row>
    <row r="11" spans="1:9" x14ac:dyDescent="0.25">
      <c r="A11" s="4"/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</row>
    <row r="12" spans="1:9" x14ac:dyDescent="0.25">
      <c r="A12" s="2" t="s">
        <v>50</v>
      </c>
      <c r="B12" s="2">
        <v>1</v>
      </c>
      <c r="C12" s="2">
        <v>7.0171901553449061</v>
      </c>
      <c r="D12" s="2">
        <v>7.0171901553449061</v>
      </c>
      <c r="E12" s="2">
        <v>0.82059170918374424</v>
      </c>
      <c r="F12" s="2">
        <v>0.37697380646853174</v>
      </c>
    </row>
    <row r="13" spans="1:9" x14ac:dyDescent="0.25">
      <c r="A13" s="2" t="s">
        <v>51</v>
      </c>
      <c r="B13" s="2">
        <v>18</v>
      </c>
      <c r="C13" s="2">
        <v>153.92480984465504</v>
      </c>
      <c r="D13" s="2">
        <v>8.5513783247030588</v>
      </c>
      <c r="E13" s="2"/>
      <c r="F13" s="2"/>
    </row>
    <row r="14" spans="1:9" ht="15.75" thickBot="1" x14ac:dyDescent="0.3">
      <c r="A14" s="3" t="s">
        <v>52</v>
      </c>
      <c r="B14" s="3">
        <v>19</v>
      </c>
      <c r="C14" s="3">
        <v>160.94199999999995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59</v>
      </c>
      <c r="C16" s="4" t="s">
        <v>32</v>
      </c>
      <c r="D16" s="4" t="s">
        <v>60</v>
      </c>
      <c r="E16" s="4" t="s">
        <v>61</v>
      </c>
      <c r="F16" s="4" t="s">
        <v>62</v>
      </c>
      <c r="G16" s="4" t="s">
        <v>63</v>
      </c>
      <c r="H16" s="4" t="s">
        <v>64</v>
      </c>
      <c r="I16" s="4" t="s">
        <v>65</v>
      </c>
    </row>
    <row r="17" spans="1:9" x14ac:dyDescent="0.25">
      <c r="A17" s="2" t="s">
        <v>53</v>
      </c>
      <c r="B17" s="2">
        <v>8.2252485599147569</v>
      </c>
      <c r="C17" s="2">
        <v>2.6167783473731752</v>
      </c>
      <c r="D17" s="2">
        <v>3.1432729364225995</v>
      </c>
      <c r="E17" s="2">
        <v>5.6206342723309653E-3</v>
      </c>
      <c r="F17" s="2">
        <v>2.7276012554929343</v>
      </c>
      <c r="G17" s="2">
        <v>13.722895864336579</v>
      </c>
      <c r="H17" s="2">
        <v>2.7276012554929343</v>
      </c>
      <c r="I17" s="2">
        <v>13.722895864336579</v>
      </c>
    </row>
    <row r="18" spans="1:9" ht="15.75" thickBot="1" x14ac:dyDescent="0.3">
      <c r="A18" s="3" t="s">
        <v>66</v>
      </c>
      <c r="B18" s="3">
        <v>-3.3531753979762706E-2</v>
      </c>
      <c r="C18" s="3">
        <v>3.7016274639625708E-2</v>
      </c>
      <c r="D18" s="3">
        <v>-0.90586517163634717</v>
      </c>
      <c r="E18" s="3">
        <v>0.37697380646853051</v>
      </c>
      <c r="F18" s="3">
        <v>-0.11130006121776773</v>
      </c>
      <c r="G18" s="3">
        <v>4.4236553258242321E-2</v>
      </c>
      <c r="H18" s="3">
        <v>-0.11130006121776773</v>
      </c>
      <c r="I18" s="3">
        <v>4.4236553258242321E-2</v>
      </c>
    </row>
    <row r="22" spans="1:9" x14ac:dyDescent="0.25">
      <c r="A22" t="s">
        <v>67</v>
      </c>
      <c r="F22" t="s">
        <v>72</v>
      </c>
    </row>
    <row r="23" spans="1:9" ht="15.75" thickBot="1" x14ac:dyDescent="0.3"/>
    <row r="24" spans="1:9" x14ac:dyDescent="0.25">
      <c r="A24" s="4" t="s">
        <v>68</v>
      </c>
      <c r="B24" s="4" t="s">
        <v>69</v>
      </c>
      <c r="C24" s="4" t="s">
        <v>70</v>
      </c>
      <c r="D24" s="4" t="s">
        <v>71</v>
      </c>
      <c r="F24" s="4" t="s">
        <v>73</v>
      </c>
      <c r="G24" s="4" t="s">
        <v>74</v>
      </c>
    </row>
    <row r="25" spans="1:9" x14ac:dyDescent="0.25">
      <c r="A25" s="2">
        <v>1</v>
      </c>
      <c r="B25" s="2">
        <v>5.9450892892908929</v>
      </c>
      <c r="C25" s="2">
        <v>-4.8450892892908932</v>
      </c>
      <c r="D25" s="2">
        <v>-1.7022536442274334</v>
      </c>
      <c r="F25" s="2">
        <v>2.5</v>
      </c>
      <c r="G25" s="2">
        <v>1.1000000000000001</v>
      </c>
    </row>
    <row r="26" spans="1:9" x14ac:dyDescent="0.25">
      <c r="A26" s="2">
        <v>2</v>
      </c>
      <c r="B26" s="2">
        <v>6.1462798131694694</v>
      </c>
      <c r="C26" s="2">
        <v>0.45372018683053028</v>
      </c>
      <c r="D26" s="2">
        <v>0.15940817503589486</v>
      </c>
      <c r="F26" s="2">
        <v>7.5</v>
      </c>
      <c r="G26" s="2">
        <v>1.1000000000000001</v>
      </c>
    </row>
    <row r="27" spans="1:9" x14ac:dyDescent="0.25">
      <c r="A27" s="2">
        <v>3</v>
      </c>
      <c r="B27" s="2">
        <v>5.4085812256146895</v>
      </c>
      <c r="C27" s="2">
        <v>-3.1085812256146896</v>
      </c>
      <c r="D27" s="2">
        <v>-1.0921560788106841</v>
      </c>
      <c r="F27" s="2">
        <v>12.5</v>
      </c>
      <c r="G27" s="2">
        <v>1.8</v>
      </c>
    </row>
    <row r="28" spans="1:9" x14ac:dyDescent="0.25">
      <c r="A28" s="2">
        <v>4</v>
      </c>
      <c r="B28" s="2">
        <v>4.9056049159182491</v>
      </c>
      <c r="C28" s="2">
        <v>2.8943950840817507</v>
      </c>
      <c r="D28" s="2">
        <v>1.0169048051606129</v>
      </c>
      <c r="F28" s="2">
        <v>17.5</v>
      </c>
      <c r="G28" s="2">
        <v>2.2999999999999998</v>
      </c>
    </row>
    <row r="29" spans="1:9" x14ac:dyDescent="0.25">
      <c r="A29" s="2">
        <v>5</v>
      </c>
      <c r="B29" s="2">
        <v>6.5151291069468584</v>
      </c>
      <c r="C29" s="2">
        <v>-5.4151291069468588</v>
      </c>
      <c r="D29" s="2">
        <v>-1.9025290775624557</v>
      </c>
      <c r="F29" s="2">
        <v>22.5</v>
      </c>
      <c r="G29" s="2">
        <v>3.7</v>
      </c>
    </row>
    <row r="30" spans="1:9" x14ac:dyDescent="0.25">
      <c r="A30" s="2">
        <v>6</v>
      </c>
      <c r="B30" s="2">
        <v>5.0397319318373004</v>
      </c>
      <c r="C30" s="2">
        <v>-0.53973193183730039</v>
      </c>
      <c r="D30" s="2">
        <v>-0.18962718600598238</v>
      </c>
      <c r="F30" s="2">
        <v>27.5</v>
      </c>
      <c r="G30" s="2">
        <v>3.8</v>
      </c>
    </row>
    <row r="31" spans="1:9" x14ac:dyDescent="0.25">
      <c r="A31" s="2">
        <v>7</v>
      </c>
      <c r="B31" s="2">
        <v>5.7103670114325542</v>
      </c>
      <c r="C31" s="2">
        <v>-0.41036701143255438</v>
      </c>
      <c r="D31" s="2">
        <v>-0.14417664958740589</v>
      </c>
      <c r="F31" s="2">
        <v>32.5</v>
      </c>
      <c r="G31" s="2">
        <v>4.5</v>
      </c>
    </row>
    <row r="32" spans="1:9" x14ac:dyDescent="0.25">
      <c r="A32" s="2">
        <v>8</v>
      </c>
      <c r="B32" s="2">
        <v>6.9845736626635366</v>
      </c>
      <c r="C32" s="2">
        <v>0.91542633733646372</v>
      </c>
      <c r="D32" s="2">
        <v>0.32162210554035664</v>
      </c>
      <c r="F32" s="2">
        <v>37.5</v>
      </c>
      <c r="G32" s="2">
        <v>4.5</v>
      </c>
    </row>
    <row r="33" spans="1:7" x14ac:dyDescent="0.25">
      <c r="A33" s="2">
        <v>9</v>
      </c>
      <c r="B33" s="2">
        <v>5.8109622733718425</v>
      </c>
      <c r="C33" s="2">
        <v>-1.3109622733718425</v>
      </c>
      <c r="D33" s="2">
        <v>-0.46058806640042449</v>
      </c>
      <c r="F33" s="2">
        <v>42.5</v>
      </c>
      <c r="G33" s="2">
        <v>5.3</v>
      </c>
    </row>
    <row r="34" spans="1:7" x14ac:dyDescent="0.25">
      <c r="A34" s="2">
        <v>10</v>
      </c>
      <c r="B34" s="2">
        <v>5.3415177176551643</v>
      </c>
      <c r="C34" s="2">
        <v>4.2584822823448354</v>
      </c>
      <c r="D34" s="2">
        <v>1.4961575630859818</v>
      </c>
      <c r="F34" s="2">
        <v>47.5</v>
      </c>
      <c r="G34" s="2">
        <v>6.6</v>
      </c>
    </row>
    <row r="35" spans="1:7" x14ac:dyDescent="0.25">
      <c r="A35" s="2">
        <v>11</v>
      </c>
      <c r="B35" s="2">
        <v>6.749851384805198</v>
      </c>
      <c r="C35" s="2">
        <v>0.75014861519480203</v>
      </c>
      <c r="D35" s="2">
        <v>0.26355411380135829</v>
      </c>
      <c r="F35" s="2">
        <v>52.5</v>
      </c>
      <c r="G35" s="2">
        <v>6.7</v>
      </c>
    </row>
    <row r="36" spans="1:7" x14ac:dyDescent="0.25">
      <c r="A36" s="2">
        <v>12</v>
      </c>
      <c r="B36" s="2">
        <v>6.4480655989873332</v>
      </c>
      <c r="C36" s="2">
        <v>-2.748065598987333</v>
      </c>
      <c r="D36" s="2">
        <v>-0.96549400870522872</v>
      </c>
      <c r="F36" s="2">
        <v>57.5</v>
      </c>
      <c r="G36" s="2">
        <v>7.5</v>
      </c>
    </row>
    <row r="37" spans="1:7" x14ac:dyDescent="0.25">
      <c r="A37" s="2">
        <v>13</v>
      </c>
      <c r="B37" s="2">
        <v>6.1462798131694694</v>
      </c>
      <c r="C37" s="2">
        <v>1.753720186830531</v>
      </c>
      <c r="D37" s="2">
        <v>0.61614480162127194</v>
      </c>
      <c r="F37" s="2">
        <v>62.5</v>
      </c>
      <c r="G37" s="2">
        <v>7.8</v>
      </c>
    </row>
    <row r="38" spans="1:7" x14ac:dyDescent="0.25">
      <c r="A38" s="2">
        <v>14</v>
      </c>
      <c r="B38" s="2">
        <v>5.5762399955135029</v>
      </c>
      <c r="C38" s="2">
        <v>2.8237600044864974</v>
      </c>
      <c r="D38" s="2">
        <v>0.99208816825836255</v>
      </c>
      <c r="F38" s="2">
        <v>67.5</v>
      </c>
      <c r="G38" s="2">
        <v>7.9</v>
      </c>
    </row>
    <row r="39" spans="1:7" x14ac:dyDescent="0.25">
      <c r="A39" s="2">
        <v>15</v>
      </c>
      <c r="B39" s="2">
        <v>5.5427082415337399</v>
      </c>
      <c r="C39" s="2">
        <v>-3.74270824153374</v>
      </c>
      <c r="D39" s="2">
        <v>-1.3149476434856986</v>
      </c>
      <c r="F39" s="2">
        <v>72.5</v>
      </c>
      <c r="G39" s="2">
        <v>7.9</v>
      </c>
    </row>
    <row r="40" spans="1:7" x14ac:dyDescent="0.25">
      <c r="A40" s="2">
        <v>16</v>
      </c>
      <c r="B40" s="2">
        <v>6.4815973529670963</v>
      </c>
      <c r="C40" s="2">
        <v>3.3184026470329044</v>
      </c>
      <c r="D40" s="2">
        <v>1.1658738697367643</v>
      </c>
      <c r="F40" s="2">
        <v>77.5</v>
      </c>
      <c r="G40" s="2">
        <v>8.4</v>
      </c>
    </row>
    <row r="41" spans="1:7" x14ac:dyDescent="0.25">
      <c r="A41" s="2">
        <v>17</v>
      </c>
      <c r="B41" s="2">
        <v>6.6492561228659097</v>
      </c>
      <c r="C41" s="2">
        <v>2.4507438771340899</v>
      </c>
      <c r="D41" s="2">
        <v>0.86103422389768569</v>
      </c>
      <c r="F41" s="2">
        <v>82.5</v>
      </c>
      <c r="G41" s="2">
        <v>9.1</v>
      </c>
    </row>
    <row r="42" spans="1:7" x14ac:dyDescent="0.25">
      <c r="A42" s="2">
        <v>18</v>
      </c>
      <c r="B42" s="2">
        <v>6.0792163052099433</v>
      </c>
      <c r="C42" s="2">
        <v>3.120783694790056</v>
      </c>
      <c r="D42" s="2">
        <v>1.0964432438931218</v>
      </c>
      <c r="F42" s="2">
        <v>87.5</v>
      </c>
      <c r="G42" s="2">
        <v>9.1999999999999993</v>
      </c>
    </row>
    <row r="43" spans="1:7" x14ac:dyDescent="0.25">
      <c r="A43" s="2">
        <v>19</v>
      </c>
      <c r="B43" s="2">
        <v>6.1127480591897063</v>
      </c>
      <c r="C43" s="2">
        <v>0.58725194081029386</v>
      </c>
      <c r="D43" s="2">
        <v>0.20632266953954537</v>
      </c>
      <c r="F43" s="2">
        <v>92.5</v>
      </c>
      <c r="G43" s="2">
        <v>9.6</v>
      </c>
    </row>
    <row r="44" spans="1:7" ht="15.75" thickBot="1" x14ac:dyDescent="0.3">
      <c r="A44" s="3">
        <v>20</v>
      </c>
      <c r="B44" s="3">
        <v>5.0062001778575373</v>
      </c>
      <c r="C44" s="3">
        <v>-1.2062001778575375</v>
      </c>
      <c r="D44" s="3">
        <v>-0.42378138478564092</v>
      </c>
      <c r="F44" s="3">
        <v>97.5</v>
      </c>
      <c r="G44" s="3">
        <v>9.8000000000000007</v>
      </c>
    </row>
  </sheetData>
  <sortState xmlns:xlrd2="http://schemas.microsoft.com/office/spreadsheetml/2017/richdata2" ref="G25:G44">
    <sortCondition ref="G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workbookViewId="0">
      <selection activeCell="C2" sqref="C2:C21"/>
    </sheetView>
  </sheetViews>
  <sheetFormatPr defaultRowHeight="15" x14ac:dyDescent="0.25"/>
  <cols>
    <col min="1" max="1" width="14" customWidth="1"/>
    <col min="2" max="2" width="17" customWidth="1"/>
    <col min="3" max="3" width="9" customWidth="1"/>
    <col min="4" max="4" width="23" customWidth="1"/>
    <col min="9" max="9" width="9.85546875" customWidth="1"/>
    <col min="10" max="10" width="18" customWidth="1"/>
    <col min="11" max="11" width="18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t="s">
        <v>28</v>
      </c>
      <c r="K1" s="1" t="s">
        <v>29</v>
      </c>
    </row>
    <row r="2" spans="1:16" x14ac:dyDescent="0.25">
      <c r="A2">
        <v>1</v>
      </c>
      <c r="B2" t="s">
        <v>4</v>
      </c>
      <c r="C2">
        <v>68</v>
      </c>
      <c r="D2">
        <v>1.1000000000000001</v>
      </c>
      <c r="E2">
        <f>AVERAGE(C2:C21)</f>
        <v>68.45</v>
      </c>
      <c r="F2">
        <f>MEDIAN(C2:C21)</f>
        <v>66</v>
      </c>
      <c r="G2">
        <f>_xlfn.MODE.SNGL(C2:C21)</f>
        <v>62</v>
      </c>
      <c r="H2">
        <f>MAX(C2:C21)-MIN(C2:C21)</f>
        <v>62</v>
      </c>
      <c r="I2">
        <f>_xlfn.VAR.S(C2:C21)</f>
        <v>328.4710526315788</v>
      </c>
      <c r="J2">
        <f>_xlfn.STDEV.S(C2:C21)</f>
        <v>18.123770375713185</v>
      </c>
      <c r="K2">
        <f>CORREL(C2:C21,D2:D21)</f>
        <v>-0.20880790004054153</v>
      </c>
    </row>
    <row r="3" spans="1:16" x14ac:dyDescent="0.25">
      <c r="A3">
        <v>2</v>
      </c>
      <c r="B3" t="s">
        <v>5</v>
      </c>
      <c r="C3">
        <v>62</v>
      </c>
      <c r="D3">
        <v>6.6</v>
      </c>
    </row>
    <row r="4" spans="1:16" x14ac:dyDescent="0.25">
      <c r="A4">
        <v>3</v>
      </c>
      <c r="B4" t="s">
        <v>6</v>
      </c>
      <c r="C4">
        <v>84</v>
      </c>
      <c r="D4">
        <v>2.2999999999999998</v>
      </c>
    </row>
    <row r="5" spans="1:16" x14ac:dyDescent="0.25">
      <c r="A5">
        <v>4</v>
      </c>
      <c r="B5" t="s">
        <v>7</v>
      </c>
      <c r="C5">
        <v>99</v>
      </c>
      <c r="D5">
        <v>7.8</v>
      </c>
    </row>
    <row r="6" spans="1:16" x14ac:dyDescent="0.25">
      <c r="A6">
        <v>5</v>
      </c>
      <c r="B6" t="s">
        <v>8</v>
      </c>
      <c r="C6">
        <v>51</v>
      </c>
      <c r="D6">
        <v>1.1000000000000001</v>
      </c>
    </row>
    <row r="7" spans="1:16" x14ac:dyDescent="0.25">
      <c r="A7">
        <v>6</v>
      </c>
      <c r="B7" t="s">
        <v>8</v>
      </c>
      <c r="C7">
        <v>95</v>
      </c>
      <c r="D7">
        <v>4.5</v>
      </c>
    </row>
    <row r="8" spans="1:16" x14ac:dyDescent="0.25">
      <c r="A8">
        <v>7</v>
      </c>
      <c r="B8" t="s">
        <v>9</v>
      </c>
      <c r="C8">
        <v>75</v>
      </c>
      <c r="D8">
        <v>5.3</v>
      </c>
    </row>
    <row r="9" spans="1:16" x14ac:dyDescent="0.25">
      <c r="A9">
        <v>8</v>
      </c>
      <c r="B9" t="s">
        <v>10</v>
      </c>
      <c r="C9">
        <v>37</v>
      </c>
      <c r="D9">
        <v>7.9</v>
      </c>
    </row>
    <row r="10" spans="1:16" x14ac:dyDescent="0.25">
      <c r="A10">
        <v>9</v>
      </c>
      <c r="B10" t="s">
        <v>11</v>
      </c>
      <c r="C10">
        <v>72</v>
      </c>
      <c r="D10">
        <v>4.5</v>
      </c>
    </row>
    <row r="11" spans="1:16" x14ac:dyDescent="0.25">
      <c r="A11">
        <v>10</v>
      </c>
      <c r="B11" t="s">
        <v>12</v>
      </c>
      <c r="C11">
        <v>86</v>
      </c>
      <c r="D11">
        <v>9.6</v>
      </c>
    </row>
    <row r="12" spans="1:16" x14ac:dyDescent="0.25">
      <c r="A12">
        <v>11</v>
      </c>
      <c r="B12" t="s">
        <v>13</v>
      </c>
      <c r="C12">
        <v>44</v>
      </c>
      <c r="D12">
        <v>7.5</v>
      </c>
    </row>
    <row r="13" spans="1:16" x14ac:dyDescent="0.25">
      <c r="A13">
        <v>12</v>
      </c>
      <c r="B13" t="s">
        <v>14</v>
      </c>
      <c r="C13">
        <v>53</v>
      </c>
      <c r="D13">
        <v>3.7</v>
      </c>
    </row>
    <row r="14" spans="1:16" x14ac:dyDescent="0.25">
      <c r="A14">
        <v>13</v>
      </c>
      <c r="B14" t="s">
        <v>15</v>
      </c>
      <c r="C14">
        <v>62</v>
      </c>
      <c r="D14">
        <v>7.9</v>
      </c>
    </row>
    <row r="15" spans="1:16" x14ac:dyDescent="0.25">
      <c r="A15">
        <v>14</v>
      </c>
      <c r="B15" t="s">
        <v>16</v>
      </c>
      <c r="C15">
        <v>79</v>
      </c>
      <c r="D15">
        <v>8.4</v>
      </c>
    </row>
    <row r="16" spans="1:16" x14ac:dyDescent="0.25">
      <c r="A16">
        <v>15</v>
      </c>
      <c r="B16" t="s">
        <v>17</v>
      </c>
      <c r="C16">
        <v>80</v>
      </c>
      <c r="D16">
        <v>1.8</v>
      </c>
      <c r="P16" t="s">
        <v>30</v>
      </c>
    </row>
    <row r="17" spans="1:4" x14ac:dyDescent="0.25">
      <c r="A17">
        <v>16</v>
      </c>
      <c r="B17" t="s">
        <v>18</v>
      </c>
      <c r="C17">
        <v>52</v>
      </c>
      <c r="D17">
        <v>9.8000000000000007</v>
      </c>
    </row>
    <row r="18" spans="1:4" x14ac:dyDescent="0.25">
      <c r="A18">
        <v>17</v>
      </c>
      <c r="B18" t="s">
        <v>19</v>
      </c>
      <c r="C18">
        <v>47</v>
      </c>
      <c r="D18">
        <v>9.1</v>
      </c>
    </row>
    <row r="19" spans="1:4" x14ac:dyDescent="0.25">
      <c r="A19">
        <v>18</v>
      </c>
      <c r="B19" t="s">
        <v>20</v>
      </c>
      <c r="C19">
        <v>64</v>
      </c>
      <c r="D19">
        <v>9.1999999999999993</v>
      </c>
    </row>
    <row r="20" spans="1:4" x14ac:dyDescent="0.25">
      <c r="A20">
        <v>19</v>
      </c>
      <c r="B20" t="s">
        <v>21</v>
      </c>
      <c r="C20">
        <v>63</v>
      </c>
      <c r="D20">
        <v>6.7</v>
      </c>
    </row>
    <row r="21" spans="1:4" x14ac:dyDescent="0.25">
      <c r="A21">
        <v>20</v>
      </c>
      <c r="B21" t="s">
        <v>22</v>
      </c>
      <c r="C21">
        <v>96</v>
      </c>
      <c r="D21">
        <v>3.8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Student Study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MITS</cp:lastModifiedBy>
  <dcterms:created xsi:type="dcterms:W3CDTF">2026-05-26T08:47:04Z</dcterms:created>
  <dcterms:modified xsi:type="dcterms:W3CDTF">2026-05-26T09:59:37Z</dcterms:modified>
</cp:coreProperties>
</file>